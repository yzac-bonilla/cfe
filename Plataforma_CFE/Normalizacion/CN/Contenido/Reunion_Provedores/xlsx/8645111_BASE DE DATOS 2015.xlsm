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8C4F1C90-05EB-6A55-5F09-09C24B55AC0B}"/>
  <workbookPr codeName="ThisWorkbook" hidePivotFieldList="1" defaultThemeVersion="124226"/>
  <bookViews>
    <workbookView xWindow="1620" yWindow="735" windowWidth="16455" windowHeight="7755" tabRatio="779" firstSheet="1" activeTab="1"/>
  </bookViews>
  <sheets>
    <sheet name="Gestor de Información" sheetId="1" r:id="rId1"/>
    <sheet name="Base de Datos" sheetId="3" r:id="rId2"/>
    <sheet name="Gráfica" sheetId="4" r:id="rId3"/>
    <sheet name="Reporte Mensual" sheetId="8" r:id="rId4"/>
    <sheet name="Hoja1" sheetId="9" r:id="rId5"/>
    <sheet name="Hoja2" sheetId="10" r:id="rId6"/>
  </sheets>
  <definedNames>
    <definedName name="_xlnm._FilterDatabase" localSheetId="1" hidden="1">'Base de Datos'!$A$1:$W$352</definedName>
    <definedName name="_xlnm.Print_Area" localSheetId="1">'Base de Datos'!$A$1:$R$123</definedName>
    <definedName name="ATENDIDO">'Base de Datos'!$J$343</definedName>
    <definedName name="Baja">'Base de Datos'!$J$349</definedName>
    <definedName name="BAJA_DN_182_2015.pdf">'Base de Datos'!$J$172</definedName>
  </definedNames>
  <calcPr calcId="125725"/>
  <pivotCaches>
    <pivotCache cacheId="0" r:id="rId7"/>
  </pivotCaches>
</workbook>
</file>

<file path=xl/calcChain.xml><?xml version="1.0" encoding="utf-8"?>
<calcChain xmlns="http://schemas.openxmlformats.org/spreadsheetml/2006/main">
  <c r="O2" i="3"/>
  <c r="I2"/>
  <c r="AD16" i="4" l="1"/>
  <c r="U16"/>
  <c r="T16"/>
  <c r="O3" i="3"/>
  <c r="I3"/>
  <c r="I4"/>
  <c r="O4"/>
  <c r="I5"/>
  <c r="O5"/>
  <c r="I6"/>
  <c r="O6"/>
  <c r="I7"/>
  <c r="O7"/>
  <c r="AD24" i="4" l="1"/>
  <c r="AD23"/>
  <c r="AE15"/>
  <c r="AE14"/>
  <c r="AE13"/>
  <c r="AE12"/>
  <c r="AE11"/>
  <c r="AE10"/>
  <c r="AE9"/>
  <c r="AE8"/>
  <c r="AE7"/>
  <c r="AE6"/>
  <c r="AE5"/>
  <c r="AE4"/>
  <c r="I66" i="1"/>
  <c r="C33" i="8"/>
  <c r="V15" i="4"/>
  <c r="V14"/>
  <c r="V13"/>
  <c r="V12"/>
  <c r="V11"/>
  <c r="V10"/>
  <c r="V9"/>
  <c r="V8"/>
  <c r="V7"/>
  <c r="V6"/>
  <c r="V5"/>
  <c r="V4"/>
  <c r="U24"/>
  <c r="U23"/>
  <c r="P44" i="3" l="1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I8"/>
  <c r="O9"/>
  <c r="I9"/>
  <c r="O10"/>
  <c r="I10"/>
  <c r="O11"/>
  <c r="I11"/>
  <c r="O12"/>
  <c r="I12"/>
  <c r="O13"/>
  <c r="I13"/>
  <c r="O19" l="1"/>
  <c r="O18"/>
  <c r="O17"/>
  <c r="O16"/>
  <c r="O15"/>
  <c r="O14"/>
  <c r="I14"/>
  <c r="I15"/>
  <c r="I16"/>
  <c r="I17"/>
  <c r="I18"/>
  <c r="I19"/>
  <c r="O22"/>
  <c r="O21"/>
  <c r="O20"/>
  <c r="I20"/>
  <c r="I21"/>
  <c r="I22"/>
  <c r="O26"/>
  <c r="O25"/>
  <c r="O24"/>
  <c r="O23"/>
  <c r="I23"/>
  <c r="I24"/>
  <c r="I25"/>
  <c r="I26"/>
  <c r="O29"/>
  <c r="O28"/>
  <c r="O27"/>
  <c r="I27"/>
  <c r="I28"/>
  <c r="I29"/>
  <c r="O30" l="1"/>
  <c r="I30" l="1"/>
  <c r="I31" l="1"/>
  <c r="O31"/>
  <c r="I32"/>
  <c r="O32"/>
  <c r="O33" l="1"/>
  <c r="I33"/>
  <c r="O39"/>
  <c r="O38"/>
  <c r="O37"/>
  <c r="O36"/>
  <c r="O35"/>
  <c r="O34"/>
  <c r="I34"/>
  <c r="I35"/>
  <c r="I36"/>
  <c r="I37"/>
  <c r="I38"/>
  <c r="I39"/>
  <c r="P50"/>
  <c r="O50"/>
  <c r="P49"/>
  <c r="O49"/>
  <c r="P48"/>
  <c r="O48"/>
  <c r="P47"/>
  <c r="O47"/>
  <c r="P46"/>
  <c r="O46"/>
  <c r="P45"/>
  <c r="O45"/>
  <c r="O44"/>
  <c r="O43"/>
  <c r="O42"/>
  <c r="O41"/>
  <c r="O40"/>
  <c r="I40"/>
  <c r="I41"/>
  <c r="I42"/>
  <c r="I43"/>
  <c r="I44"/>
  <c r="I45"/>
  <c r="I46"/>
  <c r="I47"/>
  <c r="I48"/>
  <c r="I49"/>
  <c r="I50"/>
  <c r="P53"/>
  <c r="O53"/>
  <c r="P52"/>
  <c r="O52"/>
  <c r="P51"/>
  <c r="O51"/>
  <c r="P68"/>
  <c r="O68"/>
  <c r="P67"/>
  <c r="O67"/>
  <c r="P66"/>
  <c r="O66"/>
  <c r="P65"/>
  <c r="O65"/>
  <c r="P64"/>
  <c r="O64"/>
  <c r="P63"/>
  <c r="O63"/>
  <c r="P62"/>
  <c r="O62"/>
  <c r="P61"/>
  <c r="O61"/>
  <c r="P60"/>
  <c r="O60"/>
  <c r="P59"/>
  <c r="O59"/>
  <c r="P58"/>
  <c r="O58"/>
  <c r="P57"/>
  <c r="O57"/>
  <c r="P56"/>
  <c r="O56"/>
  <c r="P55"/>
  <c r="O55"/>
  <c r="P54"/>
  <c r="O54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P69"/>
  <c r="O69"/>
  <c r="I69"/>
  <c r="P70"/>
  <c r="O70"/>
  <c r="I70"/>
  <c r="P71"/>
  <c r="O71"/>
  <c r="I71"/>
  <c r="P72"/>
  <c r="O72"/>
  <c r="I72"/>
  <c r="B306" i="1"/>
  <c r="P74" i="3"/>
  <c r="O74"/>
  <c r="P73"/>
  <c r="O73"/>
  <c r="I73"/>
  <c r="I74"/>
  <c r="P77"/>
  <c r="O77"/>
  <c r="P76"/>
  <c r="O76"/>
  <c r="P75"/>
  <c r="O75"/>
  <c r="I75"/>
  <c r="I76"/>
  <c r="I77"/>
  <c r="P80"/>
  <c r="O80"/>
  <c r="P79"/>
  <c r="O79"/>
  <c r="P78"/>
  <c r="O78"/>
  <c r="I78"/>
  <c r="I79"/>
  <c r="I80"/>
  <c r="P87"/>
  <c r="O87"/>
  <c r="P86"/>
  <c r="O86"/>
  <c r="P85"/>
  <c r="O85"/>
  <c r="P84"/>
  <c r="O84"/>
  <c r="P83"/>
  <c r="O83"/>
  <c r="P82"/>
  <c r="O82"/>
  <c r="P81"/>
  <c r="O81"/>
  <c r="I81"/>
  <c r="I82"/>
  <c r="I83"/>
  <c r="I84"/>
  <c r="I85"/>
  <c r="I86"/>
  <c r="I87"/>
  <c r="P89"/>
  <c r="P88"/>
  <c r="I88"/>
  <c r="O88"/>
  <c r="I89"/>
  <c r="O89"/>
  <c r="P92"/>
  <c r="P91"/>
  <c r="P90"/>
  <c r="I90"/>
  <c r="I91"/>
  <c r="I92"/>
  <c r="P94"/>
  <c r="P93"/>
  <c r="I93"/>
  <c r="I94"/>
  <c r="P95"/>
  <c r="I95"/>
  <c r="I110"/>
  <c r="P96"/>
  <c r="I96"/>
  <c r="P98"/>
  <c r="P97"/>
  <c r="I97"/>
  <c r="I98"/>
  <c r="P106"/>
  <c r="P105"/>
  <c r="P104"/>
  <c r="P103"/>
  <c r="P102"/>
  <c r="P101"/>
  <c r="P100"/>
  <c r="P99"/>
  <c r="I99"/>
  <c r="I100"/>
  <c r="I101"/>
  <c r="I102"/>
  <c r="I103"/>
  <c r="I104"/>
  <c r="I105"/>
  <c r="I106"/>
  <c r="P107"/>
  <c r="I107"/>
  <c r="P110"/>
  <c r="P109"/>
  <c r="P108"/>
  <c r="I108"/>
  <c r="I109"/>
  <c r="P111"/>
  <c r="I111"/>
  <c r="P113"/>
  <c r="P112"/>
  <c r="I112"/>
  <c r="I113"/>
  <c r="P116"/>
  <c r="P115"/>
  <c r="P114"/>
  <c r="I114"/>
  <c r="I115"/>
  <c r="I116"/>
  <c r="P119"/>
  <c r="P118"/>
  <c r="P117"/>
  <c r="I117"/>
  <c r="I118"/>
  <c r="I119"/>
  <c r="P121"/>
  <c r="P120"/>
  <c r="I120"/>
  <c r="I121"/>
  <c r="P122"/>
  <c r="I122"/>
  <c r="P123"/>
  <c r="I123"/>
  <c r="P125"/>
  <c r="P124"/>
  <c r="I124"/>
  <c r="I125"/>
  <c r="P131"/>
  <c r="P130"/>
  <c r="P129"/>
  <c r="P128"/>
  <c r="P127"/>
  <c r="P126"/>
  <c r="I126"/>
  <c r="I127"/>
  <c r="I128"/>
  <c r="I129"/>
  <c r="I130"/>
  <c r="I131"/>
  <c r="P135"/>
  <c r="P134"/>
  <c r="P133"/>
  <c r="P132"/>
  <c r="I132"/>
  <c r="I133"/>
  <c r="I134"/>
  <c r="I135"/>
  <c r="P136"/>
  <c r="I136"/>
  <c r="C19" i="1"/>
  <c r="P137" i="3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I137"/>
  <c r="I138"/>
  <c r="I139"/>
  <c r="O139"/>
  <c r="O142"/>
  <c r="O141"/>
  <c r="O140"/>
  <c r="I140"/>
  <c r="I141"/>
  <c r="I142"/>
  <c r="O145"/>
  <c r="O144"/>
  <c r="O143"/>
  <c r="I143"/>
  <c r="I144"/>
  <c r="I145"/>
  <c r="O146"/>
  <c r="I146"/>
  <c r="O147"/>
  <c r="I147"/>
  <c r="O149"/>
  <c r="O148"/>
  <c r="I148"/>
  <c r="I149"/>
  <c r="O150"/>
  <c r="I150"/>
  <c r="O151"/>
  <c r="I151"/>
  <c r="I152"/>
  <c r="O152"/>
  <c r="I153"/>
  <c r="I154"/>
  <c r="I155"/>
  <c r="I156"/>
  <c r="I157"/>
  <c r="O157"/>
  <c r="I158"/>
  <c r="O158"/>
  <c r="I159"/>
  <c r="O159"/>
  <c r="I160"/>
  <c r="O160"/>
  <c r="I161"/>
  <c r="O161"/>
  <c r="I162"/>
  <c r="O162"/>
  <c r="I163"/>
  <c r="O163"/>
  <c r="I164"/>
  <c r="O164"/>
  <c r="O166"/>
  <c r="O165"/>
  <c r="I165"/>
  <c r="I166"/>
  <c r="I167"/>
  <c r="O167"/>
  <c r="I168"/>
  <c r="O168"/>
  <c r="I169"/>
  <c r="O169"/>
  <c r="I170"/>
  <c r="O170"/>
  <c r="I171"/>
  <c r="O171"/>
  <c r="I172"/>
  <c r="O172"/>
  <c r="I173"/>
  <c r="O173"/>
  <c r="I174"/>
  <c r="O174"/>
  <c r="I175"/>
  <c r="O175"/>
  <c r="I176"/>
  <c r="O176"/>
  <c r="I177"/>
  <c r="O177"/>
  <c r="I178"/>
  <c r="O178"/>
  <c r="I179"/>
  <c r="I180"/>
  <c r="O180"/>
  <c r="I181"/>
  <c r="O181"/>
  <c r="I182"/>
  <c r="O182"/>
  <c r="I183"/>
  <c r="O183"/>
  <c r="I184"/>
  <c r="O184"/>
  <c r="I185"/>
  <c r="O185"/>
  <c r="I186"/>
  <c r="I187"/>
  <c r="I188"/>
  <c r="I189"/>
  <c r="O189"/>
  <c r="I190"/>
  <c r="I191"/>
  <c r="O191"/>
  <c r="I192"/>
  <c r="O192"/>
  <c r="I193"/>
  <c r="O193"/>
  <c r="I194"/>
  <c r="O194"/>
  <c r="I195"/>
  <c r="O195"/>
  <c r="I196"/>
  <c r="O196"/>
  <c r="I197"/>
  <c r="O197"/>
  <c r="I198"/>
  <c r="O198"/>
  <c r="I199"/>
  <c r="O199"/>
  <c r="I200"/>
  <c r="I201"/>
  <c r="I202"/>
  <c r="I203"/>
  <c r="I204"/>
  <c r="O204"/>
  <c r="I205"/>
  <c r="O205"/>
  <c r="I206"/>
  <c r="O206"/>
  <c r="I207"/>
  <c r="O207"/>
  <c r="I208"/>
  <c r="O208"/>
  <c r="I209"/>
  <c r="O209"/>
  <c r="I210"/>
  <c r="O210"/>
  <c r="I211"/>
  <c r="O211"/>
  <c r="I212"/>
  <c r="O212"/>
  <c r="I213"/>
  <c r="I214"/>
  <c r="O214"/>
  <c r="I215"/>
  <c r="O215"/>
  <c r="I216"/>
  <c r="O216"/>
  <c r="I217"/>
  <c r="O217"/>
  <c r="I218"/>
  <c r="I219"/>
  <c r="I220"/>
  <c r="O220"/>
  <c r="I221"/>
  <c r="I222"/>
  <c r="O222"/>
  <c r="I223"/>
  <c r="O223"/>
  <c r="I224"/>
  <c r="O224"/>
  <c r="I225"/>
  <c r="O225"/>
  <c r="I226"/>
  <c r="O226"/>
  <c r="I227"/>
  <c r="O227"/>
  <c r="I228"/>
  <c r="O228"/>
  <c r="I229"/>
  <c r="O229"/>
  <c r="I230"/>
  <c r="O230"/>
  <c r="I231"/>
  <c r="O231"/>
  <c r="I232"/>
  <c r="O232"/>
  <c r="I233"/>
  <c r="O233"/>
  <c r="I234"/>
  <c r="O234"/>
  <c r="I235"/>
  <c r="O235"/>
  <c r="I236"/>
  <c r="O236"/>
  <c r="I237"/>
  <c r="O237"/>
  <c r="I238"/>
  <c r="O238"/>
  <c r="I239"/>
  <c r="O239"/>
  <c r="I240"/>
  <c r="O240"/>
  <c r="I241"/>
  <c r="O241"/>
  <c r="I242"/>
  <c r="O242"/>
  <c r="I243"/>
  <c r="O243"/>
  <c r="I244"/>
  <c r="I245"/>
  <c r="O245"/>
  <c r="I246"/>
  <c r="O246"/>
  <c r="I247"/>
  <c r="O247"/>
  <c r="I248"/>
  <c r="O248"/>
  <c r="I249"/>
  <c r="O249"/>
  <c r="I250"/>
  <c r="O250"/>
  <c r="I251"/>
  <c r="I252"/>
  <c r="I253"/>
  <c r="O253"/>
  <c r="I254"/>
  <c r="O254"/>
  <c r="I255"/>
  <c r="O255"/>
  <c r="I256"/>
  <c r="O256"/>
  <c r="I257"/>
  <c r="O257"/>
  <c r="I258"/>
  <c r="O258"/>
  <c r="I259"/>
  <c r="O259"/>
  <c r="I260"/>
  <c r="O260"/>
  <c r="I261"/>
  <c r="O261"/>
  <c r="I262"/>
  <c r="O262"/>
  <c r="I263"/>
  <c r="O263"/>
  <c r="I264"/>
  <c r="O264"/>
  <c r="I265"/>
  <c r="O265"/>
  <c r="I266"/>
  <c r="O266"/>
  <c r="I267"/>
  <c r="O267"/>
  <c r="I268"/>
  <c r="O268"/>
  <c r="I269"/>
  <c r="O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F98" i="8"/>
  <c r="AC23" i="4"/>
  <c r="AB23"/>
  <c r="AC24"/>
  <c r="AB24"/>
  <c r="T24"/>
  <c r="S24"/>
  <c r="T23"/>
  <c r="S23"/>
  <c r="AC16"/>
  <c r="AE16" s="1"/>
  <c r="AB16"/>
  <c r="V16"/>
  <c r="S16"/>
  <c r="AA23"/>
  <c r="AA24"/>
  <c r="Z24"/>
  <c r="R24"/>
  <c r="Q24"/>
  <c r="Z23"/>
  <c r="R23"/>
  <c r="Q23"/>
  <c r="AA16"/>
  <c r="Z16"/>
  <c r="R16"/>
  <c r="Q16"/>
  <c r="P16"/>
  <c r="U1" i="3"/>
  <c r="S1"/>
  <c r="V24" i="4" l="1"/>
  <c r="AE24"/>
  <c r="AE23"/>
  <c r="V23"/>
  <c r="W1" i="3"/>
  <c r="C92" i="8"/>
</calcChain>
</file>

<file path=xl/sharedStrings.xml><?xml version="1.0" encoding="utf-8"?>
<sst xmlns="http://schemas.openxmlformats.org/spreadsheetml/2006/main" count="4640" uniqueCount="1114">
  <si>
    <t>OFICIO</t>
  </si>
  <si>
    <t>FECHA OFICIO</t>
  </si>
  <si>
    <t>FECHA RECEPCION</t>
  </si>
  <si>
    <t>RECIBIO</t>
  </si>
  <si>
    <t>ESPECIFICACIÓN</t>
  </si>
  <si>
    <t>SELLO</t>
  </si>
  <si>
    <t>EMPRESA</t>
  </si>
  <si>
    <t>RESPONSABLE</t>
  </si>
  <si>
    <t>TIEMPO RESPUESTA</t>
  </si>
  <si>
    <t>FECHA RECEPCIÓN</t>
  </si>
  <si>
    <t>PROTOTIPO</t>
  </si>
  <si>
    <t>CFE-VH000-11-2007</t>
  </si>
  <si>
    <t>NRF-025-CFE-2009</t>
  </si>
  <si>
    <t>CFE-K0000-13-2006</t>
  </si>
  <si>
    <t>CFE-VY200-47-1993</t>
  </si>
  <si>
    <t>NRF-028-CFE-2007</t>
  </si>
  <si>
    <t>CFE-K0000-07-2007</t>
  </si>
  <si>
    <t>CFE-K0000-22-2007</t>
  </si>
  <si>
    <t>CFE-K0000-08-2007</t>
  </si>
  <si>
    <t>CFE-G0000-90-2004</t>
  </si>
  <si>
    <t>CFE-VM000-68-2007</t>
  </si>
  <si>
    <t>CFE-52000-91-2008</t>
  </si>
  <si>
    <t>CFE-VM000-51-2005</t>
  </si>
  <si>
    <t>CFE-V4200-25-2006</t>
  </si>
  <si>
    <t>NRF-018-CFE-2004</t>
  </si>
  <si>
    <t>CFE-K0000-19-2007</t>
  </si>
  <si>
    <t>CFE-V6700-71-2011</t>
  </si>
  <si>
    <t>NRF-030-CFE-2004</t>
  </si>
  <si>
    <t>CFE-52000-55-1993</t>
  </si>
  <si>
    <t>CFE-V8000-06-2002</t>
  </si>
  <si>
    <t>CFE-V6100-23-1984</t>
  </si>
  <si>
    <t>CFE-52000-66-2004</t>
  </si>
  <si>
    <t>CFE-K0000-04-2007</t>
  </si>
  <si>
    <t>CFE-V8000-67-2006</t>
  </si>
  <si>
    <t>NRF-027-CFE-2010</t>
  </si>
  <si>
    <t>CFE-P0000-32-2008</t>
  </si>
  <si>
    <t>NRF-029-CFE-2006</t>
  </si>
  <si>
    <t>NMX-J-158-ANCE-2002</t>
  </si>
  <si>
    <t>CFE-P0000-45-2009</t>
  </si>
  <si>
    <t>NRF-003-CFE-2000</t>
  </si>
  <si>
    <t>CFE-5GE00-01-2011</t>
  </si>
  <si>
    <t>CFE-V4100-28-1997</t>
  </si>
  <si>
    <t>NRF-007-CFE-2005</t>
  </si>
  <si>
    <t>CFE-V4200-69-2008</t>
  </si>
  <si>
    <t>CFE-V7100-19-2010</t>
  </si>
  <si>
    <t>CFE-VM000-63-2003</t>
  </si>
  <si>
    <t>NDLS-2008</t>
  </si>
  <si>
    <t>CFE-P0000-52-2004</t>
  </si>
  <si>
    <t>CFE-K0000-05 2007</t>
  </si>
  <si>
    <t>CFE-V6600-22-1984</t>
  </si>
  <si>
    <t>CFE-V4500-09-2003</t>
  </si>
  <si>
    <t>NMX-J-199-ANCE-2002</t>
  </si>
  <si>
    <t>CFE-V7200-48-2008</t>
  </si>
  <si>
    <t>CFE-2DI00-38-2011</t>
  </si>
  <si>
    <t>CFE-2DI00-39-2011</t>
  </si>
  <si>
    <t>CFE-55100-01-2011</t>
  </si>
  <si>
    <t>ACEPTACIÓN</t>
  </si>
  <si>
    <t>CFE-G0000-48-2010</t>
  </si>
  <si>
    <t>CFE-GWH00-11-2011</t>
  </si>
  <si>
    <t>CFE-J6100-54-2011</t>
  </si>
  <si>
    <t>CFE-P0000-14-2009</t>
  </si>
  <si>
    <t>CFE-P0000-33-2009</t>
  </si>
  <si>
    <t>CFE-V8000-33-2001</t>
  </si>
  <si>
    <t>CFE-VE000-38-2011</t>
  </si>
  <si>
    <t>CFE-VF000-34-2000</t>
  </si>
  <si>
    <t>NRF-004-CFE-2006</t>
  </si>
  <si>
    <t>NRF-005-CFE-2002*</t>
  </si>
  <si>
    <t>NRF-008-CFE-2000*</t>
  </si>
  <si>
    <t>NRF-022-CFE-2010*</t>
  </si>
  <si>
    <t>NRF-026-CFE-2004*</t>
  </si>
  <si>
    <t>SEL</t>
  </si>
  <si>
    <t>IG</t>
  </si>
  <si>
    <t>INDUSTRIAS REAL</t>
  </si>
  <si>
    <t>VOLTRAN</t>
  </si>
  <si>
    <t>PROHELSA</t>
  </si>
  <si>
    <t>INDUSTRIAS IEM</t>
  </si>
  <si>
    <t>PROLEC GE INTERNACIONAL</t>
  </si>
  <si>
    <t>PROMESA</t>
  </si>
  <si>
    <t>GRUPO POLESA</t>
  </si>
  <si>
    <t>COOPER POWER SYSTEMS</t>
  </si>
  <si>
    <t>MULTICRETO</t>
  </si>
  <si>
    <t>MULTICO</t>
  </si>
  <si>
    <t>SCHNEIDER ELECTRIC</t>
  </si>
  <si>
    <t>CONTINENTAL ELECTRIC</t>
  </si>
  <si>
    <t>EEBC</t>
  </si>
  <si>
    <t>PESCO</t>
  </si>
  <si>
    <t>COMANEL</t>
  </si>
  <si>
    <t>FABRICA DE TABLEROS K CERO</t>
  </si>
  <si>
    <t>TYCO ELECTRONICS</t>
  </si>
  <si>
    <t>IUSA</t>
  </si>
  <si>
    <t>LORZCO DE MONTERREY</t>
  </si>
  <si>
    <t>ARTECHE INELAP</t>
  </si>
  <si>
    <t>S &amp; A E</t>
  </si>
  <si>
    <t>CENTRIFUGADOS MEXICANOS</t>
  </si>
  <si>
    <t>EATON</t>
  </si>
  <si>
    <t>MAPPEC</t>
  </si>
  <si>
    <t>SIEMENS</t>
  </si>
  <si>
    <t>CANADA POWER PRODUCTS</t>
  </si>
  <si>
    <t>THL</t>
  </si>
  <si>
    <t>CONHESA</t>
  </si>
  <si>
    <t>QUANTUM ELECTRIC</t>
  </si>
  <si>
    <t>SMI ELECTROTECHNIQUE</t>
  </si>
  <si>
    <t>ELECTELCO</t>
  </si>
  <si>
    <t>CONSEL</t>
  </si>
  <si>
    <t>DHAPSA</t>
  </si>
  <si>
    <t>INSULMEX</t>
  </si>
  <si>
    <t>S&amp;C ELECTRIC MEXICANA</t>
  </si>
  <si>
    <t>ENERGOMEX</t>
  </si>
  <si>
    <t>GENERAL CABLE</t>
  </si>
  <si>
    <t>NARESA</t>
  </si>
  <si>
    <t>RILEZ MEXICANA</t>
  </si>
  <si>
    <t>EQUIPOS HIDROMECANICOS MC</t>
  </si>
  <si>
    <t>TRANSFORMADORES BUENDIA</t>
  </si>
  <si>
    <t>PRODIN</t>
  </si>
  <si>
    <t>TE CONNECTIVITY</t>
  </si>
  <si>
    <t>TSA TRANSFORMADORES</t>
  </si>
  <si>
    <t>ARIAN CORPORATIVO</t>
  </si>
  <si>
    <t>KONNEKT</t>
  </si>
  <si>
    <t>GORMAN Y ZEVADA</t>
  </si>
  <si>
    <t>ELECTRAMEX</t>
  </si>
  <si>
    <t>SOPORTES Y CONECTORES ELECTRICOS</t>
  </si>
  <si>
    <t>EPRECSA</t>
  </si>
  <si>
    <t>ALSTOM</t>
  </si>
  <si>
    <t>ELEMSA</t>
  </si>
  <si>
    <t>ELECTROTECNICA Y ASOCIADOS</t>
  </si>
  <si>
    <t>INJAL</t>
  </si>
  <si>
    <t>MULTIELECTRICA INDUSTRIAL</t>
  </si>
  <si>
    <t>ELEMENTOS DE CONSTRUCCION</t>
  </si>
  <si>
    <t>FG ELECTRICAL</t>
  </si>
  <si>
    <t>ABB</t>
  </si>
  <si>
    <t>AREVA</t>
  </si>
  <si>
    <t>DEEMSA</t>
  </si>
  <si>
    <t>PREFABRICADOS CASTOR</t>
  </si>
  <si>
    <t>E.C.I.S.A. CONSTRUCCIONES</t>
  </si>
  <si>
    <t>POLITUBOS DE MÉXICO</t>
  </si>
  <si>
    <t>SENSA CONTROL DIGITAL</t>
  </si>
  <si>
    <t xml:space="preserve">THOMAS &amp; BETTS </t>
  </si>
  <si>
    <t>Restauradores</t>
  </si>
  <si>
    <t>Herrajes</t>
  </si>
  <si>
    <t>Subestación Móvil</t>
  </si>
  <si>
    <t>Apartarrayos</t>
  </si>
  <si>
    <t>Boquillas</t>
  </si>
  <si>
    <t>Aisladores</t>
  </si>
  <si>
    <t>Resistencias</t>
  </si>
  <si>
    <t>Cuchillas</t>
  </si>
  <si>
    <t>Seccionadores</t>
  </si>
  <si>
    <t>Reguladores</t>
  </si>
  <si>
    <t>Eslabones Fusible</t>
  </si>
  <si>
    <t>Capacitores</t>
  </si>
  <si>
    <t>Cortacircuitos</t>
  </si>
  <si>
    <t>Empalmes</t>
  </si>
  <si>
    <t>Postes</t>
  </si>
  <si>
    <t>Arreglos Híbridos</t>
  </si>
  <si>
    <t>Desconectadores</t>
  </si>
  <si>
    <t>Indicador de Falla</t>
  </si>
  <si>
    <t>Banco de Capacitores</t>
  </si>
  <si>
    <t>Interruptor de Potencia</t>
  </si>
  <si>
    <t>Muretes</t>
  </si>
  <si>
    <t>Tableros</t>
  </si>
  <si>
    <t>Terminales</t>
  </si>
  <si>
    <t>Baterías y/o Cargadores</t>
  </si>
  <si>
    <t>Bases y/o Medidores</t>
  </si>
  <si>
    <t>Tapas y/o Registros</t>
  </si>
  <si>
    <t>UTR</t>
  </si>
  <si>
    <t>Conectadores</t>
  </si>
  <si>
    <t>Planos sin sello</t>
  </si>
  <si>
    <t>CFE-P0000-46-2009</t>
  </si>
  <si>
    <t>Vehículo y/o Equipo Hidráulico</t>
  </si>
  <si>
    <t>Control</t>
  </si>
  <si>
    <t>FAMILIAS</t>
  </si>
  <si>
    <t>CVJ</t>
  </si>
  <si>
    <t>ABR</t>
  </si>
  <si>
    <t>GGV</t>
  </si>
  <si>
    <t>CANTIDAD DE SIGAS</t>
  </si>
  <si>
    <t>FAMILIA</t>
  </si>
  <si>
    <t>No. SAO</t>
  </si>
  <si>
    <t>SECO LAGUNA S.A DE C.V.</t>
  </si>
  <si>
    <t>REMITENTE</t>
  </si>
  <si>
    <t>EUROGRUAS</t>
  </si>
  <si>
    <t>NRF-006-CFE-2000</t>
  </si>
  <si>
    <t>CFE-2A400-09-2011</t>
  </si>
  <si>
    <t>CFE-2P200-78-2011</t>
  </si>
  <si>
    <t>CFE-2DI00-35-2006</t>
  </si>
  <si>
    <t>CFE-2C900-64-2011</t>
  </si>
  <si>
    <t>CFE-2C900-62-2011</t>
  </si>
  <si>
    <t>CFE-2C900-63-2011</t>
  </si>
  <si>
    <t>CFE-2DI00-17-2011</t>
  </si>
  <si>
    <t>CFE-2P600-43-2011</t>
  </si>
  <si>
    <t>GRUPO INDUSTRIAL KEILA</t>
  </si>
  <si>
    <t>SIN ESPECIFICACIÓN</t>
  </si>
  <si>
    <t>TOTAL DE SAO'S</t>
  </si>
  <si>
    <t>Solicitud</t>
  </si>
  <si>
    <t>Transformadores</t>
  </si>
  <si>
    <t>Total general</t>
  </si>
  <si>
    <t>GRUPO CODEASA</t>
  </si>
  <si>
    <t>TIEMPO PROMEDIO</t>
  </si>
  <si>
    <t>CASA ONIS</t>
  </si>
  <si>
    <t>CFE-2A100-03-2011</t>
  </si>
  <si>
    <t>HERRAJES SEISA</t>
  </si>
  <si>
    <t>OFICIOS ATENDIDOS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</si>
  <si>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</si>
  <si>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</si>
  <si>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</si>
  <si>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</si>
  <si>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</si>
  <si>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</si>
  <si>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</si>
  <si>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</si>
  <si>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</si>
  <si>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</si>
  <si>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</si>
  <si>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</si>
  <si>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</si>
  <si>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Familia de Equipo</t>
  </si>
  <si>
    <t>TROQUELADOS Y HERRAJES ELÉCTRICOS</t>
  </si>
  <si>
    <t xml:space="preserve">Total </t>
  </si>
  <si>
    <t>SAO'S Atendidos</t>
  </si>
  <si>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%</t>
    </r>
  </si>
  <si>
    <r>
      <t>*Nota:</t>
    </r>
    <r>
      <rPr>
        <sz val="11"/>
        <color theme="1"/>
        <rFont val="Calibri"/>
        <family val="2"/>
        <scheme val="minor"/>
      </rPr>
      <t xml:space="preserve"> En la columna de "</t>
    </r>
    <r>
      <rPr>
        <sz val="11"/>
        <color theme="1"/>
        <rFont val="Calibri"/>
        <family val="2"/>
      </rPr>
      <t>±%" si el signo es positivo es un incremento, si es negativo es un decremento.</t>
    </r>
  </si>
  <si>
    <t>Sello</t>
  </si>
  <si>
    <t>Especificaciones y Proveedores</t>
  </si>
  <si>
    <t>Empresa</t>
  </si>
  <si>
    <t>FUNDIDORA ASTRA</t>
  </si>
  <si>
    <t>Familia con más SAO's</t>
  </si>
  <si>
    <r>
      <t xml:space="preserve">*Nota2: </t>
    </r>
    <r>
      <rPr>
        <sz val="11"/>
        <color theme="1"/>
        <rFont val="Calibri"/>
        <family val="2"/>
        <scheme val="minor"/>
      </rPr>
      <t>La cantidad de SAO's por mes debe corresponder a la obtenida en el reporte mensual.</t>
    </r>
  </si>
  <si>
    <t>Tiempo Promedio de Respuesta</t>
  </si>
  <si>
    <t>CONDUZINC</t>
  </si>
  <si>
    <t>CFE-57000-63-1995</t>
  </si>
  <si>
    <t>PLASTINYEC</t>
  </si>
  <si>
    <t>ZIGOR MEXICO</t>
  </si>
  <si>
    <t>TMI HERRAJES</t>
  </si>
  <si>
    <t>FHISA</t>
  </si>
  <si>
    <t>STATUS</t>
  </si>
  <si>
    <t>Status</t>
  </si>
  <si>
    <t>ACOZAC</t>
  </si>
  <si>
    <t>FABRICANTE DE HERRAJES INDUSTRIALES</t>
  </si>
  <si>
    <t>GRUPO ELÉCTRICO TOTAL</t>
  </si>
  <si>
    <t>GRUPO ELÉCTRICO ACONCAGUA</t>
  </si>
  <si>
    <t>Suma de TOTAL DE SAO'S</t>
  </si>
  <si>
    <t>MECANICA INDUSTRIAL Y HERRAJES</t>
  </si>
  <si>
    <t>QUELTRO</t>
  </si>
  <si>
    <t>Plan Piloto</t>
  </si>
  <si>
    <t>PLAN PILOTO</t>
  </si>
  <si>
    <t>PE-K3000-001</t>
  </si>
  <si>
    <t>MAXWER ALMAGOR</t>
  </si>
  <si>
    <t>ALTEC-F</t>
  </si>
  <si>
    <t>ZETRAK</t>
  </si>
  <si>
    <t>3M</t>
  </si>
  <si>
    <t>SIN SELLO</t>
  </si>
  <si>
    <t>CFE-2DI00-04-2011</t>
  </si>
  <si>
    <t>FUMETAM REYES RIVERA</t>
  </si>
  <si>
    <t>PACSA</t>
  </si>
  <si>
    <t>COELMEMGIC MÉXICO</t>
  </si>
  <si>
    <t>FUNDIDORA PARA LA HIDRÁULICA</t>
  </si>
  <si>
    <t>CONSORCIO MEXICANO ANTARES</t>
  </si>
  <si>
    <r>
      <t xml:space="preserve">*Nota2: </t>
    </r>
    <r>
      <rPr>
        <sz val="11"/>
        <color theme="1"/>
        <rFont val="Calibri"/>
        <family val="2"/>
        <scheme val="minor"/>
      </rPr>
      <t>La cantidad de tiempo promedio por mes debe corresponder a la obtenida en el reporte mensual.</t>
    </r>
  </si>
  <si>
    <t>ATD</t>
  </si>
  <si>
    <t>primer semestre</t>
  </si>
  <si>
    <t>segundo semestre</t>
  </si>
  <si>
    <t>CONECTORES Y HERRAJES ELÉCTRICOS</t>
  </si>
  <si>
    <t>INDUSTRIAS ELECTRICAS DE ALTA TESIÓN</t>
  </si>
  <si>
    <t>CFE-GU600-08-1999</t>
  </si>
  <si>
    <t>Conmutadores</t>
  </si>
  <si>
    <t>EECORE</t>
  </si>
  <si>
    <t>MATRIX WAREHOUSES (PARADOXE CORPORATION)</t>
  </si>
  <si>
    <t>Promedio anual</t>
  </si>
  <si>
    <t>NO</t>
  </si>
  <si>
    <t>SI</t>
  </si>
  <si>
    <t>TORMEX S.A. DE C.V.</t>
  </si>
  <si>
    <t>OZMAZABAL</t>
  </si>
  <si>
    <t>CLAMPER</t>
  </si>
  <si>
    <t xml:space="preserve">CORA </t>
  </si>
  <si>
    <t>RISOUL</t>
  </si>
  <si>
    <t>NRF-023-CFE-2009</t>
  </si>
  <si>
    <t>CFE-J6200-03-2009</t>
  </si>
  <si>
    <t>ELECTRONICA Y TRANSFORMADORES DE MÉXICO</t>
  </si>
  <si>
    <t>SEPAC</t>
  </si>
  <si>
    <t>ICECSA</t>
  </si>
  <si>
    <t>ACEROMEX</t>
  </si>
  <si>
    <t>TETITLAN, S.A DE C.V.</t>
  </si>
  <si>
    <t>HJ INTERNATIONAL INC</t>
  </si>
  <si>
    <t>BROOKS UTILITY PRODUCTS</t>
  </si>
  <si>
    <t>FIJACIONES INDUSTRIALES S.A. DE C.V.</t>
  </si>
  <si>
    <t>HUBBELL</t>
  </si>
  <si>
    <t>Vida Util</t>
  </si>
  <si>
    <t>NO INDICA</t>
  </si>
  <si>
    <t>SINN DOC</t>
  </si>
  <si>
    <t>SIN DOC</t>
  </si>
  <si>
    <t>GARANTIA DE 10 AÑOS EN TODAS SUS PARTES  Y NO MENOR A 30 AÑOS</t>
  </si>
  <si>
    <t>15 AÑOS</t>
  </si>
  <si>
    <t>20 AÑOS</t>
  </si>
  <si>
    <t>LA BATERIA Y LA MEMORIA DEBE TENER UNA VIDA UTIL DE 5 AÑOS</t>
  </si>
  <si>
    <t>10 AÑOS</t>
  </si>
  <si>
    <t>30 AÑOS</t>
  </si>
  <si>
    <t>NO LO IJNDICA</t>
  </si>
  <si>
    <t>25 AÑOS</t>
  </si>
  <si>
    <t>5 AÑOS</t>
  </si>
  <si>
    <t>2 AÑOS</t>
  </si>
  <si>
    <t>NO &lt; A 25 AÑOS</t>
  </si>
  <si>
    <t>NO MENOR A 20 AÑOS</t>
  </si>
  <si>
    <t>NO MENOR A 30 AÑOS</t>
  </si>
  <si>
    <t>TEIXA</t>
  </si>
  <si>
    <t>ELECTRIC CAPITAL</t>
  </si>
  <si>
    <t>CFE-V4200-12-2012</t>
  </si>
  <si>
    <t>CFE-56100-16-2011</t>
  </si>
  <si>
    <t>MEST COMECIAL</t>
  </si>
  <si>
    <t>Electrodo</t>
  </si>
  <si>
    <t>*</t>
  </si>
  <si>
    <t>CFE-2B200-12-2012</t>
  </si>
  <si>
    <t>GRUPO INDISTRIAL DE HERRAJES</t>
  </si>
  <si>
    <t>COM FOUNDRY S. DE R.L. DE C.V.</t>
  </si>
  <si>
    <t>IEEE</t>
  </si>
  <si>
    <t>CFE-VP000-59-2000</t>
  </si>
  <si>
    <t>Seccionamiento Automático</t>
  </si>
  <si>
    <t>MIPSA</t>
  </si>
  <si>
    <t>PILLAR MEXICANA, S.A. DE C.V.</t>
  </si>
  <si>
    <t>CFE-V8000-52-2012</t>
  </si>
  <si>
    <t>CFE-V8000-53-2012</t>
  </si>
  <si>
    <t>GALVAREGIA, S.A. DE C.V.</t>
  </si>
  <si>
    <t>ARROW HART, S.A. DE C. V.</t>
  </si>
  <si>
    <t>SCADATEK</t>
  </si>
  <si>
    <t>DIVISION ORIENTE</t>
  </si>
  <si>
    <t>DIRAM</t>
  </si>
  <si>
    <t>FUNDIDORA TENAYUCA, S.A. de C.V.</t>
  </si>
  <si>
    <t>DIVISION BAJIO</t>
  </si>
  <si>
    <t>CENTRO OCCIDENTE</t>
  </si>
  <si>
    <t>ANTARES</t>
  </si>
  <si>
    <t>SYCOMEX</t>
  </si>
  <si>
    <t>SOLUCIONES EN HERRAJES FERROELECTRICO</t>
  </si>
  <si>
    <t>CFE-2C900-79-2007</t>
  </si>
  <si>
    <t>Cruceta de madera</t>
  </si>
  <si>
    <t>TECNICA SALGAR, S.A. DE C.V.</t>
  </si>
  <si>
    <t>ALTAMEDIA&amp;SUBTERRANEA</t>
  </si>
  <si>
    <t>MAXIMA ACERO, S.A. DE C.V.</t>
  </si>
  <si>
    <t>K-LINE INSULATORS LIMITED</t>
  </si>
  <si>
    <t>HARZ MEXICANOS</t>
  </si>
  <si>
    <t>ACCEL</t>
  </si>
  <si>
    <t>GALVANIZADORA METAL ALVI</t>
  </si>
  <si>
    <t>ESCALON MARINO</t>
  </si>
  <si>
    <t>PENDIENTE</t>
  </si>
  <si>
    <t>1</t>
  </si>
  <si>
    <t>FPDO</t>
  </si>
  <si>
    <t>DELTA TRANSFORMADORES</t>
  </si>
  <si>
    <t>JACOB &amp; JACOB, S. A DE C. V.</t>
  </si>
  <si>
    <t>BAJA SAO</t>
  </si>
  <si>
    <t>ENERVIL</t>
  </si>
  <si>
    <t>INGEES ELECTRIC, S.A. DE C.V.</t>
  </si>
  <si>
    <t>PRODUCTOS METALICOS ESPECIALIZADOS</t>
  </si>
  <si>
    <t>HUMBRALL</t>
  </si>
  <si>
    <t>GRUPO COMERCIAL CAFRI</t>
  </si>
  <si>
    <t>PFIFFNER</t>
  </si>
  <si>
    <t>LB HERRAJES METAL-MECANICA S.A. DE C.V.</t>
  </si>
  <si>
    <t>SMETING</t>
  </si>
  <si>
    <t>CRIMSA</t>
  </si>
  <si>
    <t>DALTOR TRANSFORMADORES SUBTERRÁNEOS Y AÉREOS</t>
  </si>
  <si>
    <t>CONDUMEX</t>
  </si>
  <si>
    <t>MANUFACTURA DESARROLLO E INGENIERIA (MADEI)</t>
  </si>
  <si>
    <t>Especificaciones y NRF</t>
  </si>
  <si>
    <t>Mas Solicitados</t>
  </si>
  <si>
    <t>APP INSULATORS DE MÉXICO</t>
  </si>
  <si>
    <t>FUNDICIONES FAR</t>
  </si>
  <si>
    <t>GRUPO PRECISIÓN CONTROL</t>
  </si>
  <si>
    <t>SEPSA</t>
  </si>
  <si>
    <t>CEAESA</t>
  </si>
  <si>
    <t>METERING ENGINEERING</t>
  </si>
  <si>
    <t>TRANSFORMADORES</t>
  </si>
  <si>
    <t xml:space="preserve">ING. ALEJANDRO BERMEJO </t>
  </si>
  <si>
    <t>2</t>
  </si>
  <si>
    <t>G&amp;W</t>
  </si>
  <si>
    <t>ING. DANIEL FLORES ILLESCAS</t>
  </si>
  <si>
    <t>SECCIONADORES</t>
  </si>
  <si>
    <t>3</t>
  </si>
  <si>
    <t>JULIO LÓPEZ PÉREZ</t>
  </si>
  <si>
    <t>4</t>
  </si>
  <si>
    <t>ING. DANIEL VARGAS HERNÁNDEZ</t>
  </si>
  <si>
    <t>5</t>
  </si>
  <si>
    <t>ING. MARIO GARCÍA SAAVEDRA</t>
  </si>
  <si>
    <t>REGISTRO PARA BAJA TENSIÓN</t>
  </si>
  <si>
    <t>6</t>
  </si>
  <si>
    <t>ING. DANIEL PINTO DÁVALOS</t>
  </si>
  <si>
    <t>7</t>
  </si>
  <si>
    <t>ING. MIGUEL A. TORRES VALDEZ</t>
  </si>
  <si>
    <t>(Todas)</t>
  </si>
  <si>
    <t>8</t>
  </si>
  <si>
    <t>OSCAR F. SÁNCHEZ SÁNCHEZ</t>
  </si>
  <si>
    <t>9</t>
  </si>
  <si>
    <t>Ing. Alfredo Dionicio Barrón</t>
  </si>
  <si>
    <t>10</t>
  </si>
  <si>
    <t>ING. ESAD AVDIC KUSTURICA</t>
  </si>
  <si>
    <t>INTERRUPTOR DE POTENCIA</t>
  </si>
  <si>
    <t>11</t>
  </si>
  <si>
    <t>ING. MARIO A. TORRES MORENO</t>
  </si>
  <si>
    <t>FPO</t>
  </si>
  <si>
    <t>12</t>
  </si>
  <si>
    <t>GUSTAVO CARLOS MATA</t>
  </si>
  <si>
    <t>13</t>
  </si>
  <si>
    <t>ING. CLAUDIO TORRES NAVA</t>
  </si>
  <si>
    <t>APARTARRAYOS</t>
  </si>
  <si>
    <t>14</t>
  </si>
  <si>
    <t>ING. ARTURO AGUILERA ALVARADO</t>
  </si>
  <si>
    <t>15</t>
  </si>
  <si>
    <t>16</t>
  </si>
  <si>
    <t>17</t>
  </si>
  <si>
    <t>18</t>
  </si>
  <si>
    <t>19</t>
  </si>
  <si>
    <t>20</t>
  </si>
  <si>
    <t>21</t>
  </si>
  <si>
    <t>ING. MARIO ALBERTO BAZAN MONTAÑEZ</t>
  </si>
  <si>
    <t>Baja</t>
  </si>
  <si>
    <t>22</t>
  </si>
  <si>
    <t>ING. OSCAR A. ROCHA HIDEROA</t>
  </si>
  <si>
    <t>POSTES</t>
  </si>
  <si>
    <t>23</t>
  </si>
  <si>
    <t>ING. LUIS ERNESTO GARCIA GRACIANO</t>
  </si>
  <si>
    <t>RESTAURADORES</t>
  </si>
  <si>
    <t>24</t>
  </si>
  <si>
    <t>25</t>
  </si>
  <si>
    <t>26</t>
  </si>
  <si>
    <t>ING. CARLOS MEDINA MALDONADO</t>
  </si>
  <si>
    <t>TABLEROS</t>
  </si>
  <si>
    <t>27</t>
  </si>
  <si>
    <t>ING. FERANDO SÁNCHEZ HINOJOSA</t>
  </si>
  <si>
    <t>28</t>
  </si>
  <si>
    <t>JUAN JOSÉ BALVER GONZÁLEZ</t>
  </si>
  <si>
    <t>CORTACIRCUITOS</t>
  </si>
  <si>
    <t>29</t>
  </si>
  <si>
    <t>30</t>
  </si>
  <si>
    <t>UBALDO MENDOZA MEJÍA</t>
  </si>
  <si>
    <t>31</t>
  </si>
  <si>
    <t>32</t>
  </si>
  <si>
    <t>CUCHILLAS</t>
  </si>
  <si>
    <t>33</t>
  </si>
  <si>
    <t>34</t>
  </si>
  <si>
    <t>|</t>
  </si>
  <si>
    <t>35</t>
  </si>
  <si>
    <t>ING. OLIVER CARATTI</t>
  </si>
  <si>
    <t>Baja -83</t>
  </si>
  <si>
    <t>36</t>
  </si>
  <si>
    <t>VLADIMIR ARAIZA</t>
  </si>
  <si>
    <t>BANCOS CAPACITORES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</si>
  <si>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</si>
  <si>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</si>
  <si>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</si>
  <si>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</si>
  <si>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</si>
  <si>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</si>
  <si>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</si>
  <si>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</si>
  <si>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</si>
  <si>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</si>
  <si>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</si>
  <si>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ING. DUVIN TAPIA SILVA</t>
  </si>
  <si>
    <t>RESTAURADOR</t>
  </si>
  <si>
    <t>ATENDIDO</t>
  </si>
  <si>
    <t>48</t>
  </si>
  <si>
    <t>49</t>
  </si>
  <si>
    <t>ING. UBALDO MENDOZA MEJÍA</t>
  </si>
  <si>
    <t>50</t>
  </si>
  <si>
    <t>51</t>
  </si>
  <si>
    <t>HUGO IVÁN GUZMÁN JIMÉNEZ</t>
  </si>
  <si>
    <t>52</t>
  </si>
  <si>
    <t>ING. HUMBERTO GONZÁLEZ JUÁREZ</t>
  </si>
  <si>
    <t>CAPACITORES</t>
  </si>
  <si>
    <t>53</t>
  </si>
  <si>
    <t>54</t>
  </si>
  <si>
    <t>55</t>
  </si>
  <si>
    <t>56</t>
  </si>
  <si>
    <t>57</t>
  </si>
  <si>
    <t>58</t>
  </si>
  <si>
    <t xml:space="preserve">TLABLEROS </t>
  </si>
  <si>
    <t>59</t>
  </si>
  <si>
    <t>ING. EDGAR RENÉ MENDOZA RIVAS</t>
  </si>
  <si>
    <t>60</t>
  </si>
  <si>
    <t>ING. UBALDO MENDOZA MEJIA</t>
  </si>
  <si>
    <t>61</t>
  </si>
  <si>
    <t>62</t>
  </si>
  <si>
    <t>63</t>
  </si>
  <si>
    <t>64</t>
  </si>
  <si>
    <t>ING. FERNANDO SÁNCHEZ HINOJOSA</t>
  </si>
  <si>
    <t>65</t>
  </si>
  <si>
    <t>ING. ALFREDO DIONICIO BARRÓN</t>
  </si>
  <si>
    <t>66</t>
  </si>
  <si>
    <t>ING. MARIO BAZAN MONTAÑEZ</t>
  </si>
  <si>
    <t>67</t>
  </si>
  <si>
    <t>68</t>
  </si>
  <si>
    <t>69</t>
  </si>
  <si>
    <t>AISLADORES</t>
  </si>
  <si>
    <t>70</t>
  </si>
  <si>
    <t>71</t>
  </si>
  <si>
    <t>72</t>
  </si>
  <si>
    <t>73</t>
  </si>
  <si>
    <t>74</t>
  </si>
  <si>
    <t>75</t>
  </si>
  <si>
    <t>76</t>
  </si>
  <si>
    <t>77</t>
  </si>
  <si>
    <t>ING. GERARDO GONZALEZ BALDERAS</t>
  </si>
  <si>
    <t>78</t>
  </si>
  <si>
    <t>POSTE</t>
  </si>
  <si>
    <t>CFE-JA100-67-</t>
  </si>
  <si>
    <t>79</t>
  </si>
  <si>
    <t>80</t>
  </si>
  <si>
    <t>ING. EDGAR MENDOZA RIVAS</t>
  </si>
  <si>
    <t>BANCOS DE CAPACITORES</t>
  </si>
  <si>
    <t>81</t>
  </si>
  <si>
    <t>ING. JESUS NUÑO RUIZ</t>
  </si>
  <si>
    <t>82</t>
  </si>
  <si>
    <t>ING. JOSE L. PERALTA JIMENEZ</t>
  </si>
  <si>
    <t>CAPACITORES MONOFASICOS</t>
  </si>
  <si>
    <t>83</t>
  </si>
  <si>
    <t>FECHA ATENCION</t>
  </si>
  <si>
    <t>84</t>
  </si>
  <si>
    <t>HIAB SA DE CV</t>
  </si>
  <si>
    <t>ADRIANA CASTILLO HERNANDEZ</t>
  </si>
  <si>
    <t>GRÚA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</si>
  <si>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</si>
  <si>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</si>
  <si>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</si>
  <si>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</si>
  <si>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</si>
  <si>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</si>
  <si>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</si>
  <si>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</si>
  <si>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</si>
  <si>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</si>
  <si>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</si>
  <si>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97</t>
  </si>
  <si>
    <t>MARCO ANTONIO FUENTES</t>
  </si>
  <si>
    <t>96</t>
  </si>
  <si>
    <t>98</t>
  </si>
  <si>
    <t>CARLA ESCALERA CUÉLLAR</t>
  </si>
  <si>
    <t>CARGADORES DE BATERÍAS</t>
  </si>
  <si>
    <t>AMETEK</t>
  </si>
  <si>
    <t>99</t>
  </si>
  <si>
    <t>TEREX</t>
  </si>
  <si>
    <t>ING. MOISES CASTRO SALINAS</t>
  </si>
  <si>
    <t>100</t>
  </si>
  <si>
    <t>TIERRA FISICA ACA</t>
  </si>
  <si>
    <t>ING. JOSÉ LUIS URIBE SALINAS</t>
  </si>
  <si>
    <t>101</t>
  </si>
  <si>
    <t>ING. GERARDO ÁNGEL HERNANDEZ</t>
  </si>
  <si>
    <t>=IF(RC[-4]=0,0,(NETWORKDAYS(RC[-13],RC[-4])))</t>
  </si>
  <si>
    <t>102</t>
  </si>
  <si>
    <t>103</t>
  </si>
  <si>
    <t>ING. MARCIAL SANDOVAL BECERRA</t>
  </si>
  <si>
    <t>104</t>
  </si>
  <si>
    <t>105</t>
  </si>
  <si>
    <t>DANIEL PINTO DÁVALOS</t>
  </si>
  <si>
    <t>106</t>
  </si>
  <si>
    <t>107</t>
  </si>
  <si>
    <t>ICM</t>
  </si>
  <si>
    <t>108</t>
  </si>
  <si>
    <t>109</t>
  </si>
  <si>
    <t>ING. ALFONSO MONTES GALLEGOS</t>
  </si>
  <si>
    <t>NRF-006-CFE-2005</t>
  </si>
  <si>
    <t>0110</t>
  </si>
  <si>
    <t>ING.MARIO M. ROJAS ESCARREGA</t>
  </si>
  <si>
    <t>536 (2).pdf</t>
  </si>
  <si>
    <t>0111</t>
  </si>
  <si>
    <t>0112</t>
  </si>
  <si>
    <t>ING. JORGE ANTONIO ESTRADA RAMÍREZ</t>
  </si>
  <si>
    <t>0113</t>
  </si>
  <si>
    <t>ING. JAIME BENJAMÍN YEVERINO ROMERO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</si>
  <si>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</si>
  <si>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</si>
  <si>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</si>
  <si>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</si>
  <si>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</si>
  <si>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</si>
  <si>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</si>
  <si>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</si>
  <si>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</si>
  <si>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</si>
  <si>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M. EN C. UBALDO MENDOZA MEJÍA</t>
  </si>
  <si>
    <t>0124</t>
  </si>
  <si>
    <t>BAJA</t>
  </si>
  <si>
    <t>0125</t>
  </si>
  <si>
    <t>L. A. MARCO ANTONIO FRIAS NIETO</t>
  </si>
  <si>
    <t>0126</t>
  </si>
  <si>
    <t>537-A</t>
  </si>
  <si>
    <t>0127</t>
  </si>
  <si>
    <t>ING. JESÚS NUÑO RUÍZ</t>
  </si>
  <si>
    <t>0128</t>
  </si>
  <si>
    <t>0129</t>
  </si>
  <si>
    <t>0130</t>
  </si>
  <si>
    <t>0131</t>
  </si>
  <si>
    <t>DANIEL PINTO DAVALOS</t>
  </si>
  <si>
    <t>0132</t>
  </si>
  <si>
    <t>ING. MARIO  ALBERTO BAZAN MONTAÑEZ</t>
  </si>
  <si>
    <t>0133</t>
  </si>
  <si>
    <t>ING. PAULO CÉSAR TORRES PÉREZ</t>
  </si>
  <si>
    <t>0134</t>
  </si>
  <si>
    <t>DANIEL VARGAS HERNANDEZ</t>
  </si>
  <si>
    <t>0135</t>
  </si>
  <si>
    <t>0136</t>
  </si>
  <si>
    <t>0137</t>
  </si>
  <si>
    <t>0138</t>
  </si>
  <si>
    <t>0139</t>
  </si>
  <si>
    <t>0140</t>
  </si>
  <si>
    <t>ALFONSO MONTES GALLEGOS</t>
  </si>
  <si>
    <t>0141</t>
  </si>
  <si>
    <t>0142</t>
  </si>
  <si>
    <t>0143</t>
  </si>
  <si>
    <t>0144</t>
  </si>
  <si>
    <t>ING. JOSÉ LUIS PERALTA JIMENEZ</t>
  </si>
  <si>
    <t>0146</t>
  </si>
  <si>
    <t>0147</t>
  </si>
  <si>
    <t>baja</t>
  </si>
  <si>
    <t>0148</t>
  </si>
  <si>
    <t>UFARA</t>
  </si>
  <si>
    <t>ING. ARÍSTIDES CANO TRANI</t>
  </si>
  <si>
    <t>0149</t>
  </si>
  <si>
    <t>0150</t>
  </si>
  <si>
    <t>GBL INGENIEROS. S.A. DE C.V.</t>
  </si>
  <si>
    <t xml:space="preserve">ING. RUBÉN CISNEROS RODRÍGUEZ </t>
  </si>
  <si>
    <t>0151</t>
  </si>
  <si>
    <t>ING. JOSÉ AURELIO GÁMEZ MORGADO</t>
  </si>
  <si>
    <t>0152</t>
  </si>
  <si>
    <t>0153</t>
  </si>
  <si>
    <t>0154</t>
  </si>
  <si>
    <t>0155</t>
  </si>
  <si>
    <t>0156</t>
  </si>
  <si>
    <t>ACEPTACION</t>
  </si>
  <si>
    <t>0157</t>
  </si>
  <si>
    <t>0158</t>
  </si>
  <si>
    <t>ING. ALFREDO DIONISIO BARRON</t>
  </si>
  <si>
    <t>0159</t>
  </si>
  <si>
    <t>0160</t>
  </si>
  <si>
    <t>baja no se ven los planos</t>
  </si>
  <si>
    <t>0161</t>
  </si>
  <si>
    <t>0162</t>
  </si>
  <si>
    <t>ING. MIGUEL ANGEL HERNÁNDEZ ZAVALA</t>
  </si>
  <si>
    <t>0163</t>
  </si>
  <si>
    <t>ING. LUIS ENRIQUE GARCIA GRACIANO</t>
  </si>
  <si>
    <t>0164</t>
  </si>
  <si>
    <t>DANIEL VARGAS HERNÁNDEZ</t>
  </si>
  <si>
    <t>0165</t>
  </si>
  <si>
    <t>0166</t>
  </si>
  <si>
    <t>ING. BERNARDO ZEVADA P.</t>
  </si>
  <si>
    <t>0167</t>
  </si>
  <si>
    <t>ING. MARIO MAURICIO ROJAS ESCÁRREGA</t>
  </si>
  <si>
    <t>0168</t>
  </si>
  <si>
    <t>ING. DIONICIO BARRÓN</t>
  </si>
  <si>
    <t>0169</t>
  </si>
  <si>
    <t>0170</t>
  </si>
  <si>
    <t>ING. ALFREDO DIONICIO BARRON</t>
  </si>
  <si>
    <t>0171</t>
  </si>
  <si>
    <t>BAJA-DN-0154-2015.pdf</t>
  </si>
  <si>
    <t>0172</t>
  </si>
  <si>
    <t>0173</t>
  </si>
  <si>
    <t>PETROFISA</t>
  </si>
  <si>
    <t>LUIS ROBERTO MÁRQUEZ RAMÍREZ</t>
  </si>
  <si>
    <t>0174</t>
  </si>
  <si>
    <t>DELTA ELECTRIC</t>
  </si>
  <si>
    <t>ING. NANCY RAMÍREZ</t>
  </si>
  <si>
    <t>0175</t>
  </si>
  <si>
    <t>0176</t>
  </si>
  <si>
    <t>LIC. IVONNE GUTIÉRREZ OBREGÓN</t>
  </si>
  <si>
    <t>0177</t>
  </si>
  <si>
    <t>0178</t>
  </si>
  <si>
    <t>0179</t>
  </si>
  <si>
    <t>0180</t>
  </si>
  <si>
    <t>0181</t>
  </si>
  <si>
    <t>0182</t>
  </si>
  <si>
    <t>ING. Marcial Sandoval Becerra</t>
  </si>
  <si>
    <t>0183</t>
  </si>
  <si>
    <t>0184</t>
  </si>
  <si>
    <t>ING. ARISTIDES CANO TRANI</t>
  </si>
  <si>
    <t>0185</t>
  </si>
  <si>
    <t>Ing. Marcial Sandoval Becerra</t>
  </si>
  <si>
    <t>0186</t>
  </si>
  <si>
    <t>Ing. Reynaldo Paniagua Salinas</t>
  </si>
  <si>
    <t>0187</t>
  </si>
  <si>
    <t>0188</t>
  </si>
  <si>
    <t>DANIEL PINTO</t>
  </si>
  <si>
    <t>0189</t>
  </si>
  <si>
    <t>0190</t>
  </si>
  <si>
    <t>ALFREDO DIONISIO BARRON</t>
  </si>
  <si>
    <t>0191</t>
  </si>
  <si>
    <t>0192</t>
  </si>
  <si>
    <t>FRANCISCO PLATA PEREZ</t>
  </si>
  <si>
    <t>0193</t>
  </si>
  <si>
    <t>ALFREDO DIONICIO BARRÓN</t>
  </si>
  <si>
    <t>0194</t>
  </si>
  <si>
    <t>0195</t>
  </si>
  <si>
    <t>0196</t>
  </si>
  <si>
    <t>ING. DANIEL PINTO DAVALOS</t>
  </si>
  <si>
    <t>0197</t>
  </si>
  <si>
    <t>0198</t>
  </si>
  <si>
    <t>ENRIQUE GUZMAN ALONSO</t>
  </si>
  <si>
    <t>0199</t>
  </si>
  <si>
    <t>M. en C. Ubaldo Mendoza Mejía</t>
  </si>
  <si>
    <t>0200</t>
  </si>
  <si>
    <t>0201</t>
  </si>
  <si>
    <t>0202</t>
  </si>
  <si>
    <t>0203</t>
  </si>
  <si>
    <t>ING. MARIO M. ROJAS E.</t>
  </si>
  <si>
    <t>733  y 732</t>
  </si>
  <si>
    <t>0204</t>
  </si>
  <si>
    <t>ING. SALVADOR RAMIREZ LOZANO</t>
  </si>
  <si>
    <t>0205</t>
  </si>
  <si>
    <t>0206</t>
  </si>
  <si>
    <t>0207</t>
  </si>
  <si>
    <t>0208</t>
  </si>
  <si>
    <t>0209</t>
  </si>
  <si>
    <t>746 y 747</t>
  </si>
  <si>
    <t>0210</t>
  </si>
  <si>
    <t>0211</t>
  </si>
  <si>
    <t>ING. ALEXANDER AYALA</t>
  </si>
  <si>
    <t>0212</t>
  </si>
  <si>
    <t>LUIS FELIPE CANTOR</t>
  </si>
  <si>
    <t>0213</t>
  </si>
  <si>
    <t>REYNALDO PANIAGUA SALINAS</t>
  </si>
  <si>
    <t>0214</t>
  </si>
  <si>
    <t>0215</t>
  </si>
  <si>
    <t>0216</t>
  </si>
  <si>
    <t xml:space="preserve">ING. HUMBERTO  GONZALEZ </t>
  </si>
  <si>
    <t>BAJA-DN-182-2015.pdf</t>
  </si>
  <si>
    <t>730 y 731 y Baja</t>
  </si>
  <si>
    <t>0217</t>
  </si>
  <si>
    <t>0218</t>
  </si>
  <si>
    <t>LIC. J. ANTONIO AGUILAR PÉREZ</t>
  </si>
  <si>
    <t>0219</t>
  </si>
  <si>
    <t>GRUPO A&amp;P SOLUTIONS</t>
  </si>
  <si>
    <t>ING. LUIS EDER SOTO CASTREJON</t>
  </si>
  <si>
    <t>0220</t>
  </si>
  <si>
    <t>0221</t>
  </si>
  <si>
    <t>0222</t>
  </si>
  <si>
    <t>0223</t>
  </si>
  <si>
    <t>0224</t>
  </si>
  <si>
    <t>0225</t>
  </si>
  <si>
    <t>0226</t>
  </si>
  <si>
    <t>SAULO F. CAMARILLO CASTILLO</t>
  </si>
  <si>
    <t>0227</t>
  </si>
  <si>
    <t>0228</t>
  </si>
  <si>
    <t>0229</t>
  </si>
  <si>
    <t>0230</t>
  </si>
  <si>
    <t>0231</t>
  </si>
  <si>
    <t>0232</t>
  </si>
  <si>
    <t>0233</t>
  </si>
  <si>
    <t>ING. FRANCSICO PLATA PEREZ</t>
  </si>
  <si>
    <t>0234</t>
  </si>
  <si>
    <t xml:space="preserve">GRUPO DELTA RGP </t>
  </si>
  <si>
    <t>ING.OSCAR PALACIOS TORRES</t>
  </si>
  <si>
    <t>0235</t>
  </si>
  <si>
    <t>DIANA MARCELA IBAÑEZ DAZA</t>
  </si>
  <si>
    <t>0236</t>
  </si>
  <si>
    <t>ING. REYNALDO PANIAGUA SALINAS</t>
  </si>
  <si>
    <t>0237</t>
  </si>
  <si>
    <t>0238</t>
  </si>
  <si>
    <t>PIERO COMEL B.</t>
  </si>
  <si>
    <t>0239</t>
  </si>
  <si>
    <t>ING. ALEXANDER AYALA HERNÁNDEZ</t>
  </si>
  <si>
    <t>0240</t>
  </si>
  <si>
    <t>ING. PAULO CESAR TORRES</t>
  </si>
  <si>
    <t>BAJA -DN-216-2015.pdf</t>
  </si>
  <si>
    <t>0241</t>
  </si>
  <si>
    <t>MARCO ANTONIO VENEGAS</t>
  </si>
  <si>
    <t>0242</t>
  </si>
  <si>
    <t>0243</t>
  </si>
  <si>
    <t xml:space="preserve">ING. NANCY RAMIREZ </t>
  </si>
  <si>
    <t>0244</t>
  </si>
  <si>
    <t>0245</t>
  </si>
  <si>
    <t>INDUSTRIA ELECTRICA DEL CONTINENTE A.A. DE C.V.</t>
  </si>
  <si>
    <t>ING. JAVIER SALAZAR SOLÍS</t>
  </si>
  <si>
    <t>0246</t>
  </si>
  <si>
    <t>ING. ERNESTO ASTUDILLO CASTREJON</t>
  </si>
  <si>
    <t xml:space="preserve">Baja </t>
  </si>
  <si>
    <t>0247</t>
  </si>
  <si>
    <t>0248</t>
  </si>
  <si>
    <t>OSCAR PALACIOS TORRES</t>
  </si>
  <si>
    <t>0249</t>
  </si>
  <si>
    <t>0250</t>
  </si>
  <si>
    <t>ING. DANIEL PEREZ CASTAÑEDA</t>
  </si>
  <si>
    <t>0251</t>
  </si>
  <si>
    <t>0252</t>
  </si>
  <si>
    <t>0253</t>
  </si>
  <si>
    <t>0254</t>
  </si>
  <si>
    <t>0255</t>
  </si>
  <si>
    <t>0256</t>
  </si>
  <si>
    <t>SUMTEC</t>
  </si>
  <si>
    <t>ING. JULIAN MENDEZ AGUIRRE</t>
  </si>
  <si>
    <t>0257</t>
  </si>
  <si>
    <t>ING. ESAD AVDIC KUSTIRICA</t>
  </si>
  <si>
    <t>0258</t>
  </si>
  <si>
    <t>0259</t>
  </si>
  <si>
    <t>0260</t>
  </si>
  <si>
    <t>0261</t>
  </si>
  <si>
    <t>0262</t>
  </si>
  <si>
    <t>0264</t>
  </si>
  <si>
    <t>0263</t>
  </si>
  <si>
    <t>0265</t>
  </si>
  <si>
    <t>0266</t>
  </si>
  <si>
    <t>0267</t>
  </si>
  <si>
    <t>0268</t>
  </si>
  <si>
    <t>0269</t>
  </si>
  <si>
    <t>0270</t>
  </si>
  <si>
    <t>0271</t>
  </si>
  <si>
    <t>0272</t>
  </si>
  <si>
    <t>ING. PAULO CESAR TORRES PEREZ</t>
  </si>
  <si>
    <t>0273</t>
  </si>
  <si>
    <t>Baja-DN-0243 12-10-2015.pdf</t>
  </si>
  <si>
    <t>0274</t>
  </si>
  <si>
    <t>QUASAR CONTROLS</t>
  </si>
  <si>
    <t>MC ANA GABRIELA GARDEA GONZÁLEZ</t>
  </si>
  <si>
    <t>0275</t>
  </si>
  <si>
    <t>0276</t>
  </si>
  <si>
    <t>INDUSTRIA ELECTRICA DEL CONTINENTE S.A. DE C.V.</t>
  </si>
  <si>
    <t>Correo</t>
  </si>
  <si>
    <t>daniel.perez@mx.abb.com</t>
  </si>
  <si>
    <t>humbeto.gonzalez@mx.abb.com</t>
  </si>
  <si>
    <t>luis.garcia@mx.abb.com</t>
  </si>
  <si>
    <t>vladimir.araiza@mx.abb.com</t>
  </si>
  <si>
    <t>rene.mendoza@mx.abb.com</t>
  </si>
  <si>
    <t>atrujillo@arteche.com.mx</t>
  </si>
  <si>
    <t>e-mail : cristobal.garcia@alstom.com</t>
  </si>
  <si>
    <t>E-mail:higinio.garcia@alstom.com</t>
  </si>
  <si>
    <t>E-mail:m.garcia@antarespolimericos</t>
  </si>
  <si>
    <t>E-mail:m.garcia@consorcioantares.com.mx</t>
  </si>
  <si>
    <t>E-MAIL.zapopan@cenmex.com</t>
  </si>
  <si>
    <t>E-mail:mfuentes@comanel.com.mx</t>
  </si>
  <si>
    <t>danielpintodavalos@eaton.com</t>
  </si>
  <si>
    <t>saulocamarillo@eaton.com</t>
  </si>
  <si>
    <t>email:aaguilera@ig.com.mx</t>
  </si>
  <si>
    <t>Email: r.paniagua@continentalelectric.com.mx</t>
  </si>
  <si>
    <t>crimsa3@hotmail.com</t>
  </si>
  <si>
    <t>0277</t>
  </si>
  <si>
    <t>0278</t>
  </si>
  <si>
    <t>0279</t>
  </si>
  <si>
    <t>E-mail.conhesa@prodigynet.mx</t>
  </si>
  <si>
    <t>gangel@deltaelectric.com.mx</t>
  </si>
  <si>
    <t>viviana.27@outlook.com.ar</t>
  </si>
  <si>
    <t>gcarlos@deltaelectric.com.mx</t>
  </si>
  <si>
    <t>magarcia@diram.com</t>
  </si>
  <si>
    <t>mtorres@electriccapital.com.mx</t>
  </si>
  <si>
    <t>amonteselectriccapital.com.mx</t>
  </si>
  <si>
    <t>abermejo@electriccapital.com.mx</t>
  </si>
  <si>
    <t>0280</t>
  </si>
  <si>
    <t>0281</t>
  </si>
  <si>
    <t>ING. OSCAR PALACIOS TORRES</t>
  </si>
  <si>
    <t>0282</t>
  </si>
  <si>
    <t>DIVISION GOLFO NORTE</t>
  </si>
  <si>
    <t>ING. IRAZU I. RODRÍGUEZ GARZA</t>
  </si>
  <si>
    <t>0283</t>
  </si>
  <si>
    <t>0284</t>
  </si>
  <si>
    <t>888.pdf</t>
  </si>
  <si>
    <t>Remplaza DN 0281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</si>
  <si>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</si>
  <si>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</si>
  <si>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</si>
  <si>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</si>
  <si>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</si>
  <si>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</si>
  <si>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</si>
  <si>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</si>
  <si>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</si>
  <si>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</si>
  <si>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</si>
  <si>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</si>
  <si>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</si>
  <si>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</si>
  <si>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</si>
  <si>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</si>
  <si>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</si>
  <si>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</si>
  <si>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</si>
  <si>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ING. ÁNGEL MARIO VÁZQUEZ QUILES</t>
  </si>
  <si>
    <t>0304</t>
  </si>
  <si>
    <t>0305</t>
  </si>
  <si>
    <t>0306</t>
  </si>
  <si>
    <t>ING. JESUS LARES HERNANDEZ</t>
  </si>
  <si>
    <t>0307</t>
  </si>
  <si>
    <t>0308</t>
  </si>
  <si>
    <t>0309</t>
  </si>
  <si>
    <t>0310</t>
  </si>
  <si>
    <t>0311</t>
  </si>
  <si>
    <t>0312</t>
  </si>
  <si>
    <t>0313</t>
  </si>
  <si>
    <t>0314</t>
  </si>
  <si>
    <t>ING. HIGINIO GARCIA GARCIA</t>
  </si>
  <si>
    <t>0315</t>
  </si>
  <si>
    <t>0316</t>
  </si>
  <si>
    <t>0317</t>
  </si>
  <si>
    <t>0318</t>
  </si>
  <si>
    <t>0319</t>
  </si>
  <si>
    <t>0320</t>
  </si>
  <si>
    <t>MC ANA GABRIELA GARDEA GONZALEZ</t>
  </si>
  <si>
    <t>0321</t>
  </si>
  <si>
    <t>0322</t>
  </si>
  <si>
    <t>0323</t>
  </si>
  <si>
    <t xml:space="preserve">PIERO COMEL B. </t>
  </si>
  <si>
    <t>0324</t>
  </si>
  <si>
    <t>ING. ALEXIS M. MATA ORTIZ</t>
  </si>
  <si>
    <t>baja/ DN 0320</t>
  </si>
  <si>
    <t>Baja (pendiente)</t>
  </si>
  <si>
    <t>0325</t>
  </si>
  <si>
    <t>ING. LUIS EDUARDO DE FLON VELÁZQUEZ</t>
  </si>
  <si>
    <t>0326</t>
  </si>
  <si>
    <t>0327</t>
  </si>
  <si>
    <t>0328</t>
  </si>
  <si>
    <t>0329</t>
  </si>
  <si>
    <t>0330</t>
  </si>
  <si>
    <t>0331</t>
  </si>
  <si>
    <t>0332</t>
  </si>
  <si>
    <t>0333</t>
  </si>
  <si>
    <t>TJ PIONEROS EN EQUIPO PARA RED SUBTERRANEA</t>
  </si>
  <si>
    <t>ING. JUAN JOSÉ CHÁVEZ PÉREZ</t>
  </si>
  <si>
    <t>0334</t>
  </si>
  <si>
    <t>0335</t>
  </si>
  <si>
    <t>0336</t>
  </si>
  <si>
    <t>0337</t>
  </si>
  <si>
    <t>0338</t>
  </si>
  <si>
    <t>0339</t>
  </si>
  <si>
    <t>0340</t>
  </si>
  <si>
    <t>0341</t>
  </si>
  <si>
    <t>0342</t>
  </si>
  <si>
    <t>ING. GERARDO FERNADO SOLIS</t>
  </si>
  <si>
    <t>DALTOR TRANSFORMADORES</t>
  </si>
  <si>
    <t>DN_Repetido</t>
  </si>
  <si>
    <t>0343</t>
  </si>
  <si>
    <t>ING. DANIEL PÉREZ CASTAÑEDA</t>
  </si>
  <si>
    <t>NORMA</t>
  </si>
  <si>
    <t>ARTECHE</t>
  </si>
  <si>
    <t>COOPER</t>
  </si>
  <si>
    <t>PROLEC</t>
  </si>
  <si>
    <t>NOM 002-SEDE-ENER/2104</t>
  </si>
  <si>
    <t xml:space="preserve">TRANSFORMADORES DE DISTRUCIÓN </t>
  </si>
  <si>
    <t>TC Y TP</t>
  </si>
  <si>
    <t>NOM 002-SEDE-SIN AÑO</t>
  </si>
  <si>
    <t>NOM 002-SEDE-2010</t>
  </si>
  <si>
    <t>RELACION DE PROVEEDORES QUE UTILIZAN LA NOM 002-SEDE-2010/2014</t>
  </si>
  <si>
    <t>0344</t>
  </si>
  <si>
    <t>0345</t>
  </si>
  <si>
    <t>OSCAR F. SANCHEZ SANCHEZ</t>
  </si>
  <si>
    <t>Comparativa de Solicitudes, Años:  2011, 2012, 2013, 2014 y 2015</t>
  </si>
  <si>
    <t>Comparativa en tiempos promedio de atención Años: 2011, 2012, 2013, 2014 y 2015</t>
  </si>
  <si>
    <t>0346</t>
  </si>
  <si>
    <t>ARTURO AGUILERA</t>
  </si>
  <si>
    <t>0347</t>
  </si>
  <si>
    <t>0348</t>
  </si>
  <si>
    <t>JUAN PABLO ESTRADA</t>
  </si>
  <si>
    <t>0349</t>
  </si>
  <si>
    <t>No.</t>
  </si>
  <si>
    <t>CFE-K0000-04-2015</t>
  </si>
  <si>
    <t>CFE-K0000-05 2015</t>
  </si>
  <si>
    <t>CFE-K0000-07-2015</t>
  </si>
  <si>
    <t>CFE-K0000-08-2015</t>
  </si>
  <si>
    <t>CFE-K0000-19-2015</t>
  </si>
  <si>
    <t>CFE-K0000-22-2015</t>
  </si>
  <si>
    <t>0350</t>
  </si>
  <si>
    <t>CFE-P0000-45-2015</t>
  </si>
  <si>
    <t>/</t>
  </si>
  <si>
    <t>CFE-2B500-30-2012</t>
  </si>
  <si>
    <t>351</t>
  </si>
  <si>
    <t>CFE-2C500-68-2012</t>
  </si>
  <si>
    <t>CFE-2DI00-06-2013</t>
  </si>
  <si>
    <t>CFE-2DI00-37-2014</t>
  </si>
  <si>
    <t>CFE-2DI00-38-2015</t>
  </si>
  <si>
    <t>CFE-G0000-74-2015</t>
  </si>
  <si>
    <t>CFE-G0000-90-2015</t>
  </si>
  <si>
    <t>CFE-GCUI0-68-1915</t>
  </si>
  <si>
    <t>CFE-JA100-67-2015</t>
  </si>
  <si>
    <t>CFE-P0000-09-2014</t>
  </si>
  <si>
    <t>CFE-P0000-14-2014</t>
  </si>
  <si>
    <t>CFE-P0000-31-2014</t>
  </si>
  <si>
    <t>CFE-P0000-32-2014</t>
  </si>
  <si>
    <t>CFE-P0000-33-2014</t>
  </si>
  <si>
    <t>CFE-P0000-46-2014</t>
  </si>
  <si>
    <t>CFE-P0000-48-2015</t>
  </si>
  <si>
    <t>CFE-P0000-49-2014</t>
  </si>
  <si>
    <t>CFE-P0000-52-2014</t>
  </si>
  <si>
    <t>CFE-V6700-62-2015</t>
  </si>
  <si>
    <t>CFE-V8000-06-2013</t>
  </si>
  <si>
    <t>CFE-V8000-67-2012</t>
  </si>
  <si>
    <t>CFE-V8000-52-2015</t>
  </si>
  <si>
    <t>ING. GERARDO FERNANDO SOLIS SALAZAR</t>
  </si>
  <si>
    <t>ING. GERARDO FERNANDO SOLÍS SALZAR</t>
  </si>
  <si>
    <t xml:space="preserve"> 75 kVA 33000 YT/19050-240/120 V</t>
  </si>
  <si>
    <t>CFE-K0000-19/2007</t>
  </si>
  <si>
    <t>75 kVA 22840YT/13200-240/120 V</t>
  </si>
  <si>
    <t>50 kVA 33000 YT/13200-240/120 V</t>
  </si>
  <si>
    <t>50 kVA  33000 YT/19050-240/120 V</t>
  </si>
  <si>
    <t>100 kVA  33000 YT/19050-240/120 V</t>
  </si>
  <si>
    <t>50 KVA 13200YT/7620-240/120 V</t>
  </si>
  <si>
    <t>75 KVA 13200YT/7620-240/120 V</t>
  </si>
  <si>
    <t>100 KVA 13200YT/7620-240/120 V</t>
  </si>
  <si>
    <t>37.5KVA 13200YT/7620-240/120 V</t>
  </si>
  <si>
    <t>37.5KVA 22860YT/7620-240/120 V</t>
  </si>
  <si>
    <t>100 KVA 22860YT/7620-240/120 V</t>
  </si>
  <si>
    <t>K0000-08/07</t>
  </si>
  <si>
    <t>CFE K0000-04</t>
  </si>
  <si>
    <t>CFE K000-05</t>
  </si>
  <si>
    <t>CFE K0000-07</t>
  </si>
  <si>
    <t>CFE K0000-08</t>
  </si>
  <si>
    <t>CFE K0000-22</t>
  </si>
  <si>
    <t>NO HAY</t>
  </si>
  <si>
    <t>112.5 KVA 22860YT/13200-220Y/127V</t>
  </si>
  <si>
    <t>CFE K0000-04-2015</t>
  </si>
  <si>
    <t>50 KVA 13200 YT/7620-240/120</t>
  </si>
  <si>
    <t>75 KVA 22860YT/13200-240/120</t>
  </si>
  <si>
    <t>NOTA: EN LA BASE DE DATOS TIENE LA K0000-04-2007</t>
  </si>
  <si>
    <t>CFE K0000-05-2015</t>
  </si>
  <si>
    <t>NOTA: EN LA BASE DE DATOS TIENE LA K0000-05-2007</t>
  </si>
  <si>
    <t>500 KVA 22860YT/13200-220/127</t>
  </si>
  <si>
    <t>300 KVA 22860YT/13200-220/127</t>
  </si>
  <si>
    <t>150 KVA 22860YT/13200-240-120</t>
  </si>
  <si>
    <t>OBSERVACIONES</t>
  </si>
  <si>
    <t>150 KVA 13200YT/7620-220Y/127 V</t>
  </si>
  <si>
    <t>NOTA: EN LA BASE DE DATOS TIENE LA K0000-08-2007</t>
  </si>
  <si>
    <t>K0000-08-15</t>
  </si>
  <si>
    <t>100 KVA 22860YT13200-240/120 V</t>
  </si>
  <si>
    <t>50 KVA 22860YT/13200-240/120 V</t>
  </si>
  <si>
    <t>125 KVA 22860YT/13200-240/120 V</t>
  </si>
  <si>
    <t>500KVA 33000YT/19050-220Y/127 V</t>
  </si>
  <si>
    <t>CFE K0000-07-2015</t>
  </si>
  <si>
    <t>NOTA: EN LA BASE DE DATOS TIENE LA K0000-07-2007</t>
  </si>
  <si>
    <t>500KVA 13200YT/7620-220Y/127 V</t>
  </si>
  <si>
    <t>500 KVA 22860YT/13200-220/127 V</t>
  </si>
  <si>
    <t>75 KVA 13200YT/7620-220/127 V</t>
  </si>
  <si>
    <t>CFE K0000-08-2015</t>
  </si>
  <si>
    <t>225 KVA 22860YT/13200-220Y/127 V</t>
  </si>
  <si>
    <t>112.5 KVA 22860YT/13200-220Y/127 V</t>
  </si>
  <si>
    <t>75 KVA 22860YT/13200-220Y/127 V</t>
  </si>
  <si>
    <t>50 KVA 13220YT/7620-240/120</t>
  </si>
  <si>
    <t>50 KVA 22860YT/13200-240/120</t>
  </si>
  <si>
    <t>112.5 KVA 13200YT/7620-220Y/127-C15</t>
  </si>
  <si>
    <t>150 KVA 33000YT/19050-220Y/127 V C18</t>
  </si>
  <si>
    <t>112.5 KVA 22860YT/13200-220Y/127-C15</t>
  </si>
  <si>
    <t>75 KVA 13200YT/7620-240/120</t>
  </si>
  <si>
    <t>100 KVA 13200YT/7620-240/120</t>
  </si>
  <si>
    <t>100 kva 22860YT/13200-240-120</t>
  </si>
  <si>
    <t>CFE K0000-08/07</t>
  </si>
  <si>
    <t>300 KVA 22860YT/7620-220/127</t>
  </si>
  <si>
    <t>NOTA: EN LA BASE DE DATOS TIENE LA K0000-04-2007 Y EL OFIC. 2007</t>
  </si>
  <si>
    <t>CFE K0000-05-2007</t>
  </si>
  <si>
    <t>500 KVA 13200YT/7620-220Y/127</t>
  </si>
  <si>
    <t>CFE K0000-07-15</t>
  </si>
  <si>
    <t>NOTA: EN LA BASE DE DATOS TIENE LA K0000-07-2007 Y EL OFIC. 2015</t>
  </si>
  <si>
    <t>300 KVA 13200/7620</t>
  </si>
  <si>
    <t>112.5 KVA 13200YT/7620-220Y/127 V</t>
  </si>
  <si>
    <t xml:space="preserve">NOTA: EN LA BASE DE DATOS TIENE LA K0000-08-2007 </t>
  </si>
  <si>
    <t>CFE K0000-08-15</t>
  </si>
  <si>
    <t>150 KVA 22860YT/13200-220Y/127 V</t>
  </si>
  <si>
    <t>CFE K0000-08-07</t>
  </si>
  <si>
    <t>150 KVA 22860YT/13200-220Y/127</t>
  </si>
  <si>
    <t>225 KVA 22860YT/13200-220Y/127</t>
  </si>
  <si>
    <t>CFE K0000-22-15</t>
  </si>
  <si>
    <t>K0000-08/2015</t>
  </si>
  <si>
    <t>75 KVA 13200YT/7620-220Y/127 V</t>
  </si>
  <si>
    <t>75 KVA KVA 22860YT/13200-220Y/127 V</t>
  </si>
  <si>
    <t>15 22860YT/13200-220Y/127 V</t>
  </si>
  <si>
    <t>112.5 22860YT/13200-220Y/127 V</t>
  </si>
  <si>
    <t>150 22860YT/13200-220Y/127 V</t>
  </si>
  <si>
    <t>K0000-08/2007</t>
  </si>
  <si>
    <t>112.5 KVA 22860YT/132000-220Y/127 V</t>
  </si>
  <si>
    <t>NRF 025-2009</t>
  </si>
  <si>
    <t>NRF 025-2013</t>
  </si>
  <si>
    <t>10 KVA 22860YT/13200-120/240 V</t>
  </si>
  <si>
    <t>10 KVA 23000-120/240 V</t>
  </si>
  <si>
    <t>15 KVA 22860YT/13200-120/240 V</t>
  </si>
  <si>
    <t>15 KVA 23000-120/240 V</t>
  </si>
  <si>
    <t>25 KVA 23000-120/240 V</t>
  </si>
  <si>
    <t>TRIFASICO TIPO PEDESTAL EN LA BASE DISE PK0000-2007 Y EL PLANO ES K0000-2015</t>
  </si>
  <si>
    <t>TRIFASICO TIPO CALIDO EN LA BASE DISE PK0000-2007 Y EL PLANO ES K0000-2015</t>
  </si>
  <si>
    <t>225 KVA 13200YT/7620-220Y/127</t>
  </si>
  <si>
    <t>NRF 025</t>
  </si>
  <si>
    <t>CALIDO</t>
  </si>
  <si>
    <t>CFE K0000-04-2007</t>
  </si>
  <si>
    <t>NORMAL</t>
  </si>
  <si>
    <t>se atendera con  SAO 351</t>
  </si>
  <si>
    <t>500 KVA 13200YT/7620-220Y/127 V</t>
  </si>
  <si>
    <t>300 KVA 13200YT/7620-220Y/127 V</t>
  </si>
  <si>
    <t xml:space="preserve">NORMAL </t>
  </si>
  <si>
    <t>DALTOR ELECTRIC</t>
  </si>
  <si>
    <t>ZONA CONTAMINADA</t>
  </si>
  <si>
    <t>NO CONTAMINADA</t>
  </si>
  <si>
    <t>100 KVA 22800YT/13200-240/120 V</t>
  </si>
  <si>
    <t>150 KVA 22860YT/13200 220Y/127</t>
  </si>
  <si>
    <t>CFE K0000-22-2015</t>
  </si>
  <si>
    <t>NOTA: EN LA BASE DE DATOS TIENE LA K0000-22-2007</t>
  </si>
  <si>
    <t>hcsuarezsolis@mmm.com</t>
  </si>
  <si>
    <t>no tiene</t>
  </si>
  <si>
    <t>gabriela.gardea@quasarcontrols.com</t>
  </si>
  <si>
    <t>jestrada@arteche.com.mx</t>
  </si>
  <si>
    <t>paulocesartorresperez@outlook.com</t>
  </si>
  <si>
    <t>ventas@transformadoresiec.com</t>
  </si>
  <si>
    <t>aayala@harz.com.mx</t>
  </si>
  <si>
    <t>gabrielcueva@harz.com.mx</t>
  </si>
  <si>
    <t>ivan.velazquez_vargas@siemens.com</t>
  </si>
  <si>
    <r>
      <t>G</t>
    </r>
    <r>
      <rPr>
        <sz val="11"/>
        <color theme="1"/>
        <rFont val="Calibri"/>
        <family val="2"/>
      </rPr>
      <t>&amp;W MÉXICO</t>
    </r>
  </si>
  <si>
    <t>dflores@gwelec.com</t>
  </si>
  <si>
    <t>bvazquez@gwelec.com.mx</t>
  </si>
  <si>
    <t>amontes@electriccapital.com.mx</t>
  </si>
  <si>
    <t>trabsa@prodigy.net.mx</t>
  </si>
  <si>
    <t>oscar@deltargp.com.mx</t>
  </si>
  <si>
    <t>m.sandoval@eprecsa.mx</t>
  </si>
  <si>
    <t>mappec@mappec.com</t>
  </si>
  <si>
    <t>avenegas@arteche.com.mx</t>
  </si>
  <si>
    <t>daniel.vargas@shneider-electric.com</t>
  </si>
  <si>
    <t>umendoza@iusa.com.mx</t>
  </si>
  <si>
    <t>jaime.veverino@siemens.com</t>
  </si>
  <si>
    <t>´pedro@tormex.com</t>
  </si>
  <si>
    <t>enrique@tormex.com</t>
  </si>
  <si>
    <t>canotrani@ufara.com.mx</t>
  </si>
  <si>
    <t>contacto@equiposmc.com</t>
  </si>
  <si>
    <t>contacto@multico.com.mx</t>
  </si>
  <si>
    <t>HIAB S.A. de c.v.</t>
  </si>
  <si>
    <t>adriana.castillo@cargotecnia.com</t>
  </si>
  <si>
    <t>Gerardo.GonzalezBalderas@sandc.com</t>
  </si>
  <si>
    <t>ventascelaya@quantumelectric.com.mx</t>
  </si>
  <si>
    <t>tjchavez3101@gmail.com</t>
  </si>
  <si>
    <t>jose.cas+E284:E289tro@equiposmc.com</t>
  </si>
  <si>
    <t>comercial@transformadorestj.com.mx</t>
  </si>
  <si>
    <t>013336880090/87</t>
  </si>
  <si>
    <t>jjchavez@gmail.com</t>
  </si>
</sst>
</file>

<file path=xl/styles.xml><?xml version="1.0" encoding="utf-8"?>
<styleSheet xmlns="http://schemas.openxmlformats.org/spreadsheetml/2006/main">
  <numFmts count="6">
    <numFmt numFmtId="164" formatCode="0000"/>
    <numFmt numFmtId="165" formatCode="dd\-mm\-yy;@"/>
    <numFmt numFmtId="166" formatCode="0.0000"/>
    <numFmt numFmtId="167" formatCode="[$-C0A]mmmm\-yy;@"/>
    <numFmt numFmtId="168" formatCode="dd/mm/yy;@"/>
    <numFmt numFmtId="169" formatCode="dd\-mm\-yyyy;@"/>
  </numFmts>
  <fonts count="1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Arial Narrow"/>
      <family val="2"/>
    </font>
    <font>
      <b/>
      <sz val="10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9" tint="-0.249977111117893"/>
      <name val="Arial Narrow"/>
      <family val="2"/>
    </font>
    <font>
      <b/>
      <sz val="18"/>
      <color rgb="FF008000"/>
      <name val="Arial Narrow"/>
      <family val="2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2"/>
      <color rgb="FF00B050"/>
      <name val="Arial Narrow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2"/>
      <color rgb="FF008000"/>
      <name val="Arial Narrow"/>
      <family val="2"/>
    </font>
    <font>
      <b/>
      <sz val="12"/>
      <color rgb="FF0070C0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BF0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9" fontId="4" fillId="0" borderId="0" applyFont="0" applyFill="0" applyBorder="0" applyAlignment="0" applyProtection="0"/>
    <xf numFmtId="0" fontId="11" fillId="8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182">
    <xf numFmtId="0" fontId="0" fillId="0" borderId="0" xfId="0"/>
    <xf numFmtId="0" fontId="1" fillId="4" borderId="0" xfId="3"/>
    <xf numFmtId="0" fontId="1" fillId="3" borderId="0" xfId="2"/>
    <xf numFmtId="14" fontId="1" fillId="3" borderId="0" xfId="2" applyNumberFormat="1"/>
    <xf numFmtId="0" fontId="1" fillId="2" borderId="0" xfId="1"/>
    <xf numFmtId="0" fontId="0" fillId="0" borderId="0" xfId="0"/>
    <xf numFmtId="0" fontId="0" fillId="0" borderId="0" xfId="0" applyFont="1"/>
    <xf numFmtId="49" fontId="1" fillId="3" borderId="0" xfId="2" applyNumberFormat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Protection="1"/>
    <xf numFmtId="0" fontId="1" fillId="3" borderId="0" xfId="2" applyAlignment="1"/>
    <xf numFmtId="1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" applyFont="1"/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 wrapText="1"/>
    </xf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wrapText="1"/>
    </xf>
    <xf numFmtId="0" fontId="7" fillId="0" borderId="0" xfId="0" pivotButton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8" fillId="7" borderId="2" xfId="0" applyNumberFormat="1" applyFont="1" applyFill="1" applyBorder="1" applyAlignment="1" applyProtection="1">
      <alignment horizontal="center" vertical="center" wrapText="1"/>
    </xf>
    <xf numFmtId="49" fontId="9" fillId="0" borderId="2" xfId="0" applyNumberFormat="1" applyFont="1" applyBorder="1" applyAlignment="1" applyProtection="1">
      <alignment horizontal="center" vertical="center" wrapText="1"/>
    </xf>
    <xf numFmtId="1" fontId="9" fillId="0" borderId="2" xfId="0" applyNumberFormat="1" applyFont="1" applyBorder="1" applyAlignment="1" applyProtection="1">
      <alignment horizontal="center" vertical="center" wrapText="1"/>
    </xf>
    <xf numFmtId="49" fontId="9" fillId="0" borderId="0" xfId="0" applyNumberFormat="1" applyFont="1" applyBorder="1" applyAlignment="1" applyProtection="1">
      <alignment horizontal="center" vertical="center" wrapText="1"/>
    </xf>
    <xf numFmtId="1" fontId="9" fillId="0" borderId="0" xfId="0" applyNumberFormat="1" applyFont="1" applyBorder="1" applyAlignment="1" applyProtection="1">
      <alignment horizontal="center" vertical="center" wrapText="1"/>
    </xf>
    <xf numFmtId="9" fontId="0" fillId="0" borderId="0" xfId="4" applyNumberFormat="1" applyFont="1"/>
    <xf numFmtId="9" fontId="0" fillId="0" borderId="0" xfId="0" applyNumberFormat="1"/>
    <xf numFmtId="49" fontId="8" fillId="7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49" fontId="3" fillId="5" borderId="3" xfId="0" applyNumberFormat="1" applyFont="1" applyFill="1" applyBorder="1" applyAlignment="1" applyProtection="1">
      <alignment horizontal="center" vertical="center" wrapText="1"/>
    </xf>
    <xf numFmtId="165" fontId="3" fillId="5" borderId="3" xfId="0" applyNumberFormat="1" applyFont="1" applyFill="1" applyBorder="1" applyAlignment="1" applyProtection="1">
      <alignment horizontal="center" vertical="center" wrapText="1"/>
    </xf>
    <xf numFmtId="49" fontId="3" fillId="5" borderId="3" xfId="0" applyNumberFormat="1" applyFont="1" applyFill="1" applyBorder="1" applyAlignment="1" applyProtection="1">
      <alignment horizontal="center" vertical="center"/>
    </xf>
    <xf numFmtId="1" fontId="3" fillId="5" borderId="3" xfId="0" applyNumberFormat="1" applyFont="1" applyFill="1" applyBorder="1" applyAlignment="1" applyProtection="1">
      <alignment horizontal="center" vertical="center"/>
    </xf>
    <xf numFmtId="164" fontId="3" fillId="6" borderId="3" xfId="0" applyNumberFormat="1" applyFont="1" applyFill="1" applyBorder="1" applyAlignment="1" applyProtection="1">
      <alignment horizontal="center" vertical="center" wrapText="1"/>
    </xf>
    <xf numFmtId="165" fontId="3" fillId="6" borderId="3" xfId="0" applyNumberFormat="1" applyFont="1" applyFill="1" applyBorder="1" applyAlignment="1" applyProtection="1">
      <alignment horizontal="center" vertical="center" wrapText="1"/>
    </xf>
    <xf numFmtId="1" fontId="3" fillId="6" borderId="3" xfId="0" applyNumberFormat="1" applyFont="1" applyFill="1" applyBorder="1" applyAlignment="1" applyProtection="1">
      <alignment horizontal="center" vertical="center" wrapText="1"/>
    </xf>
    <xf numFmtId="49" fontId="3" fillId="6" borderId="3" xfId="0" applyNumberFormat="1" applyFont="1" applyFill="1" applyBorder="1" applyAlignment="1" applyProtection="1">
      <alignment horizontal="center" vertical="center" wrapText="1"/>
    </xf>
    <xf numFmtId="1" fontId="9" fillId="0" borderId="4" xfId="0" applyNumberFormat="1" applyFont="1" applyBorder="1" applyAlignment="1" applyProtection="1">
      <alignment horizontal="center" vertical="center" wrapText="1"/>
    </xf>
    <xf numFmtId="49" fontId="2" fillId="0" borderId="5" xfId="0" applyNumberFormat="1" applyFont="1" applyBorder="1" applyAlignment="1" applyProtection="1">
      <alignment horizontal="center" vertical="center" wrapText="1"/>
    </xf>
    <xf numFmtId="49" fontId="2" fillId="0" borderId="5" xfId="0" applyNumberFormat="1" applyFont="1" applyBorder="1" applyAlignment="1" applyProtection="1">
      <alignment horizontal="center" vertical="center"/>
    </xf>
    <xf numFmtId="49" fontId="8" fillId="7" borderId="5" xfId="0" applyNumberFormat="1" applyFont="1" applyFill="1" applyBorder="1" applyAlignment="1" applyProtection="1">
      <alignment horizontal="center" vertical="center" wrapText="1"/>
    </xf>
    <xf numFmtId="49" fontId="13" fillId="7" borderId="3" xfId="0" applyNumberFormat="1" applyFont="1" applyFill="1" applyBorder="1" applyAlignment="1" applyProtection="1">
      <alignment horizontal="center" vertical="center" wrapText="1"/>
    </xf>
    <xf numFmtId="164" fontId="14" fillId="6" borderId="3" xfId="6" applyNumberFormat="1" applyFill="1" applyBorder="1" applyAlignment="1" applyProtection="1">
      <alignment horizontal="center" vertical="center" wrapText="1"/>
    </xf>
    <xf numFmtId="49" fontId="3" fillId="6" borderId="1" xfId="0" applyNumberFormat="1" applyFont="1" applyFill="1" applyBorder="1" applyAlignment="1" applyProtection="1">
      <alignment horizontal="center" vertical="center" wrapText="1"/>
    </xf>
    <xf numFmtId="49" fontId="2" fillId="0" borderId="0" xfId="0" applyNumberFormat="1" applyFont="1" applyBorder="1" applyAlignment="1" applyProtection="1">
      <alignment horizontal="center" vertical="center" wrapText="1"/>
    </xf>
    <xf numFmtId="1" fontId="3" fillId="6" borderId="1" xfId="0" applyNumberFormat="1" applyFont="1" applyFill="1" applyBorder="1" applyAlignment="1" applyProtection="1">
      <alignment horizontal="center" vertical="center" wrapText="1"/>
    </xf>
    <xf numFmtId="164" fontId="14" fillId="10" borderId="3" xfId="6" applyNumberFormat="1" applyFill="1" applyBorder="1" applyAlignment="1" applyProtection="1">
      <alignment horizontal="center" vertical="center" wrapText="1"/>
    </xf>
    <xf numFmtId="168" fontId="3" fillId="6" borderId="3" xfId="0" applyNumberFormat="1" applyFont="1" applyFill="1" applyBorder="1" applyAlignment="1" applyProtection="1">
      <alignment horizontal="center" vertical="center" wrapText="1"/>
    </xf>
    <xf numFmtId="164" fontId="15" fillId="6" borderId="3" xfId="7" applyNumberFormat="1" applyFill="1" applyBorder="1" applyAlignment="1" applyProtection="1">
      <alignment horizontal="center" vertical="center" wrapText="1"/>
    </xf>
    <xf numFmtId="0" fontId="14" fillId="0" borderId="0" xfId="6"/>
    <xf numFmtId="49" fontId="16" fillId="7" borderId="3" xfId="0" applyNumberFormat="1" applyFont="1" applyFill="1" applyBorder="1" applyAlignment="1" applyProtection="1">
      <alignment horizontal="center" vertical="center" wrapText="1"/>
    </xf>
    <xf numFmtId="169" fontId="3" fillId="6" borderId="3" xfId="0" applyNumberFormat="1" applyFont="1" applyFill="1" applyBorder="1" applyAlignment="1" applyProtection="1">
      <alignment horizontal="center" vertical="center" wrapText="1"/>
    </xf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9" xfId="0" applyNumberFormat="1" applyBorder="1"/>
    <xf numFmtId="0" fontId="0" fillId="0" borderId="10" xfId="0" applyBorder="1" applyAlignment="1">
      <alignment horizontal="left"/>
    </xf>
    <xf numFmtId="0" fontId="0" fillId="0" borderId="11" xfId="0" applyNumberFormat="1" applyBorder="1"/>
    <xf numFmtId="0" fontId="10" fillId="9" borderId="12" xfId="0" applyFont="1" applyFill="1" applyBorder="1" applyAlignment="1">
      <alignment horizontal="center" vertical="center" wrapText="1"/>
    </xf>
    <xf numFmtId="0" fontId="10" fillId="9" borderId="13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/>
    </xf>
    <xf numFmtId="0" fontId="0" fillId="0" borderId="7" xfId="0" applyNumberFormat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4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11" borderId="0" xfId="0" applyFill="1"/>
    <xf numFmtId="0" fontId="0" fillId="13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49" fontId="3" fillId="5" borderId="1" xfId="0" applyNumberFormat="1" applyFont="1" applyFill="1" applyBorder="1" applyAlignment="1" applyProtection="1">
      <alignment horizontal="center" vertical="center" wrapText="1"/>
    </xf>
    <xf numFmtId="49" fontId="3" fillId="5" borderId="1" xfId="0" applyNumberFormat="1" applyFont="1" applyFill="1" applyBorder="1" applyAlignment="1" applyProtection="1">
      <alignment horizontal="center" vertical="center"/>
    </xf>
    <xf numFmtId="165" fontId="3" fillId="5" borderId="1" xfId="0" applyNumberFormat="1" applyFont="1" applyFill="1" applyBorder="1" applyAlignment="1" applyProtection="1">
      <alignment horizontal="center" vertical="center" wrapText="1"/>
    </xf>
    <xf numFmtId="165" fontId="3" fillId="6" borderId="1" xfId="0" applyNumberFormat="1" applyFont="1" applyFill="1" applyBorder="1" applyAlignment="1" applyProtection="1">
      <alignment horizontal="center" vertical="center" wrapText="1"/>
    </xf>
    <xf numFmtId="1" fontId="3" fillId="5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Fill="1" applyBorder="1" applyAlignment="1"/>
    <xf numFmtId="0" fontId="0" fillId="0" borderId="3" xfId="0" applyBorder="1" applyAlignment="1">
      <alignment horizontal="left" vertical="center"/>
    </xf>
    <xf numFmtId="0" fontId="0" fillId="0" borderId="18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1" borderId="15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14" fillId="6" borderId="1" xfId="6" applyNumberFormat="1" applyFill="1" applyBorder="1" applyAlignment="1" applyProtection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1" borderId="3" xfId="0" applyFill="1" applyBorder="1" applyAlignment="1">
      <alignment horizontal="left" vertical="center"/>
    </xf>
    <xf numFmtId="0" fontId="0" fillId="14" borderId="3" xfId="0" applyFill="1" applyBorder="1" applyAlignment="1">
      <alignment horizontal="left" vertical="center"/>
    </xf>
    <xf numFmtId="0" fontId="0" fillId="14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0" fillId="15" borderId="1" xfId="0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0" fontId="0" fillId="0" borderId="14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/>
    <xf numFmtId="0" fontId="0" fillId="0" borderId="15" xfId="0" applyBorder="1"/>
    <xf numFmtId="0" fontId="0" fillId="0" borderId="20" xfId="0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14" borderId="15" xfId="0" applyFill="1" applyBorder="1" applyAlignment="1">
      <alignment horizontal="center" vertical="center" wrapText="1"/>
    </xf>
    <xf numFmtId="0" fontId="12" fillId="8" borderId="0" xfId="5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0" fillId="9" borderId="6" xfId="0" applyFont="1" applyFill="1" applyBorder="1" applyAlignment="1">
      <alignment horizontal="center"/>
    </xf>
    <xf numFmtId="0" fontId="5" fillId="9" borderId="7" xfId="0" applyFont="1" applyFill="1" applyBorder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5" xfId="0" applyFill="1" applyBorder="1" applyAlignment="1">
      <alignment horizontal="center" vertical="center" wrapText="1"/>
    </xf>
    <xf numFmtId="0" fontId="0" fillId="14" borderId="14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11" borderId="14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6" borderId="15" xfId="0" applyFill="1" applyBorder="1" applyAlignment="1">
      <alignment horizontal="center" vertical="center" wrapText="1"/>
    </xf>
    <xf numFmtId="0" fontId="0" fillId="16" borderId="3" xfId="0" applyFill="1" applyBorder="1" applyAlignment="1">
      <alignment horizontal="center" vertical="center" wrapText="1"/>
    </xf>
    <xf numFmtId="0" fontId="0" fillId="14" borderId="19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13" borderId="14" xfId="0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11" borderId="14" xfId="0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14" borderId="16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</cellXfs>
  <cellStyles count="8">
    <cellStyle name="Buena" xfId="5" builtinId="26"/>
    <cellStyle name="Énfasis2" xfId="1" builtinId="33"/>
    <cellStyle name="Énfasis3" xfId="2" builtinId="37"/>
    <cellStyle name="Énfasis6" xfId="3" builtinId="49"/>
    <cellStyle name="Hipervínculo" xfId="6" builtinId="8"/>
    <cellStyle name="Hipervínculo visitado" xfId="7" builtinId="9"/>
    <cellStyle name="Normal" xfId="0" builtinId="0"/>
    <cellStyle name="Porcentual" xfId="4" builtinId="5"/>
  </cellStyles>
  <dxfs count="21"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alignment horizontal="center" readingOrder="0"/>
    </dxf>
    <dxf>
      <font>
        <sz val="14"/>
      </font>
      <alignment horizontal="center" vertical="center" wrapText="1" readingOrder="0"/>
    </dxf>
    <dxf>
      <numFmt numFmtId="1" formatCode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font>
        <sz val="14"/>
      </font>
      <alignment horizontal="center" vertical="center"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  <colors>
    <mruColors>
      <color rgb="FF008000"/>
      <color rgb="FFCB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style val="29"/>
  <c:pivotSource>
    <c:name>[BASE DE DATOS 2015.xlsm]Gráfica!Familia de Equipos Anual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Solicitudes por Familia</a:t>
            </a:r>
          </a:p>
        </c:rich>
      </c:tx>
    </c:title>
    <c:pivotFmts>
      <c:pivotFmt>
        <c:idx val="0"/>
        <c:dLbl>
          <c:idx val="0"/>
          <c:dLblPos val="outEnd"/>
          <c:showVal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8000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lang="es-ES"/>
              </a:pPr>
              <a:endParaRPr lang="es-MX"/>
            </a:p>
          </c:txPr>
          <c:showVal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Gráfica!$C$3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/>
                </a:pPr>
                <a:endParaRPr lang="es-MX"/>
              </a:p>
            </c:txPr>
            <c:showVal val="1"/>
          </c:dLbls>
          <c:cat>
            <c:strRef>
              <c:f>Gráfica!$B$4:$B$30</c:f>
              <c:strCache>
                <c:ptCount val="26"/>
                <c:pt idx="0">
                  <c:v>Aisladores</c:v>
                </c:pt>
                <c:pt idx="1">
                  <c:v>Apartarrayos</c:v>
                </c:pt>
                <c:pt idx="2">
                  <c:v>Banco de Capacitores</c:v>
                </c:pt>
                <c:pt idx="3">
                  <c:v>BANCOS CAPACITORES</c:v>
                </c:pt>
                <c:pt idx="4">
                  <c:v>BANCOS DE CAPACITORES</c:v>
                </c:pt>
                <c:pt idx="5">
                  <c:v>Bases y/o Medidores</c:v>
                </c:pt>
                <c:pt idx="6">
                  <c:v>Capacitores</c:v>
                </c:pt>
                <c:pt idx="7">
                  <c:v>CAPACITORES MONOFASICOS</c:v>
                </c:pt>
                <c:pt idx="8">
                  <c:v>CARGADORES DE BATERÍAS</c:v>
                </c:pt>
                <c:pt idx="9">
                  <c:v>CORTACIRCUITOS</c:v>
                </c:pt>
                <c:pt idx="10">
                  <c:v>Cuchillas</c:v>
                </c:pt>
                <c:pt idx="11">
                  <c:v>GRÚA</c:v>
                </c:pt>
                <c:pt idx="12">
                  <c:v>Herrajes</c:v>
                </c:pt>
                <c:pt idx="13">
                  <c:v>Interruptor de Potencia</c:v>
                </c:pt>
                <c:pt idx="14">
                  <c:v>POSTE</c:v>
                </c:pt>
                <c:pt idx="15">
                  <c:v>Postes</c:v>
                </c:pt>
                <c:pt idx="16">
                  <c:v>REGISTRO PARA BAJA TENSIÓN</c:v>
                </c:pt>
                <c:pt idx="17">
                  <c:v>RESTAURADOR</c:v>
                </c:pt>
                <c:pt idx="18">
                  <c:v>Restauradores</c:v>
                </c:pt>
                <c:pt idx="19">
                  <c:v>Seccionadores</c:v>
                </c:pt>
                <c:pt idx="20">
                  <c:v>Seccionamiento Automático</c:v>
                </c:pt>
                <c:pt idx="21">
                  <c:v>Tableros</c:v>
                </c:pt>
                <c:pt idx="22">
                  <c:v>Tapas y/o Registros</c:v>
                </c:pt>
                <c:pt idx="23">
                  <c:v>TLABLEROS </c:v>
                </c:pt>
                <c:pt idx="24">
                  <c:v>Transformadores</c:v>
                </c:pt>
                <c:pt idx="25">
                  <c:v>Vehículo y/o Equipo Hidráulico</c:v>
                </c:pt>
              </c:strCache>
            </c:strRef>
          </c:cat>
          <c:val>
            <c:numRef>
              <c:f>Gráfica!$C$4:$C$30</c:f>
              <c:numCache>
                <c:formatCode>General</c:formatCode>
                <c:ptCount val="26"/>
                <c:pt idx="0">
                  <c:v>16</c:v>
                </c:pt>
                <c:pt idx="1">
                  <c:v>9</c:v>
                </c:pt>
                <c:pt idx="2">
                  <c:v>8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16</c:v>
                </c:pt>
                <c:pt idx="11">
                  <c:v>1</c:v>
                </c:pt>
                <c:pt idx="12">
                  <c:v>2</c:v>
                </c:pt>
                <c:pt idx="13">
                  <c:v>7</c:v>
                </c:pt>
                <c:pt idx="14">
                  <c:v>2</c:v>
                </c:pt>
                <c:pt idx="15">
                  <c:v>9</c:v>
                </c:pt>
                <c:pt idx="16">
                  <c:v>1</c:v>
                </c:pt>
                <c:pt idx="17">
                  <c:v>1</c:v>
                </c:pt>
                <c:pt idx="18">
                  <c:v>6</c:v>
                </c:pt>
                <c:pt idx="19">
                  <c:v>15</c:v>
                </c:pt>
                <c:pt idx="20">
                  <c:v>4</c:v>
                </c:pt>
                <c:pt idx="21">
                  <c:v>3</c:v>
                </c:pt>
                <c:pt idx="22">
                  <c:v>6</c:v>
                </c:pt>
                <c:pt idx="23">
                  <c:v>1</c:v>
                </c:pt>
                <c:pt idx="24">
                  <c:v>222</c:v>
                </c:pt>
                <c:pt idx="25">
                  <c:v>7</c:v>
                </c:pt>
              </c:numCache>
            </c:numRef>
          </c:val>
        </c:ser>
        <c:dLbls>
          <c:showVal val="1"/>
        </c:dLbls>
        <c:overlap val="-25"/>
        <c:axId val="77995008"/>
        <c:axId val="78004992"/>
      </c:barChart>
      <c:catAx>
        <c:axId val="77995008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MX"/>
          </a:p>
        </c:txPr>
        <c:crossAx val="78004992"/>
        <c:crosses val="autoZero"/>
        <c:auto val="1"/>
        <c:lblAlgn val="ctr"/>
        <c:lblOffset val="50"/>
        <c:tickLblSkip val="1"/>
        <c:tickMarkSkip val="1"/>
      </c:catAx>
      <c:valAx>
        <c:axId val="78004992"/>
        <c:scaling>
          <c:orientation val="minMax"/>
        </c:scaling>
        <c:delete val="1"/>
        <c:axPos val="l"/>
        <c:numFmt formatCode="General" sourceLinked="1"/>
        <c:tickLblPos val="none"/>
        <c:crossAx val="77995008"/>
        <c:crossesAt val="1"/>
        <c:crossBetween val="between"/>
      </c:valAx>
    </c:plotArea>
    <c:legend>
      <c:legendPos val="t"/>
      <c:txPr>
        <a:bodyPr/>
        <a:lstStyle/>
        <a:p>
          <a:pPr>
            <a:defRPr lang="es-ES"/>
          </a:pPr>
          <a:endParaRPr lang="es-MX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style val="4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Solicitudes Atendidas por Mes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4"/>
          <c:order val="0"/>
          <c:tx>
            <c:strRef>
              <c:f>Gráfica!$T$3</c:f>
              <c:strCache>
                <c:ptCount val="1"/>
                <c:pt idx="0">
                  <c:v>2014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4000"/>
                    <a:shade val="51000"/>
                    <a:satMod val="130000"/>
                  </a:schemeClr>
                </a:gs>
                <a:gs pos="80000">
                  <a:schemeClr val="accent2">
                    <a:tint val="54000"/>
                    <a:shade val="93000"/>
                    <a:satMod val="130000"/>
                  </a:schemeClr>
                </a:gs>
                <a:gs pos="100000">
                  <a:schemeClr val="accent2">
                    <a:tint val="54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Val val="1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Gráfica!$O$4:$O$15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Gráfica!$T$4:$T$15</c:f>
              <c:numCache>
                <c:formatCode>General</c:formatCode>
                <c:ptCount val="12"/>
                <c:pt idx="0">
                  <c:v>44</c:v>
                </c:pt>
                <c:pt idx="1">
                  <c:v>51</c:v>
                </c:pt>
                <c:pt idx="2">
                  <c:v>40</c:v>
                </c:pt>
                <c:pt idx="3">
                  <c:v>43</c:v>
                </c:pt>
                <c:pt idx="4">
                  <c:v>37</c:v>
                </c:pt>
                <c:pt idx="5">
                  <c:v>33</c:v>
                </c:pt>
                <c:pt idx="6">
                  <c:v>30</c:v>
                </c:pt>
                <c:pt idx="7">
                  <c:v>20</c:v>
                </c:pt>
                <c:pt idx="8">
                  <c:v>44</c:v>
                </c:pt>
                <c:pt idx="9">
                  <c:v>30</c:v>
                </c:pt>
                <c:pt idx="10">
                  <c:v>35</c:v>
                </c:pt>
                <c:pt idx="11">
                  <c:v>26</c:v>
                </c:pt>
              </c:numCache>
            </c:numRef>
          </c:val>
        </c:ser>
        <c:ser>
          <c:idx val="0"/>
          <c:order val="1"/>
          <c:tx>
            <c:strRef>
              <c:f>Gráfica!$U$3</c:f>
              <c:strCache>
                <c:ptCount val="1"/>
                <c:pt idx="0">
                  <c:v>2015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3000"/>
                    <a:shade val="51000"/>
                    <a:satMod val="130000"/>
                  </a:schemeClr>
                </a:gs>
                <a:gs pos="80000">
                  <a:schemeClr val="accent2">
                    <a:shade val="53000"/>
                    <a:shade val="93000"/>
                    <a:satMod val="130000"/>
                  </a:schemeClr>
                </a:gs>
                <a:gs pos="100000">
                  <a:schemeClr val="accent2">
                    <a:shade val="53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Gráfica!$U$4:$U$15</c:f>
              <c:numCache>
                <c:formatCode>General</c:formatCode>
                <c:ptCount val="12"/>
                <c:pt idx="0">
                  <c:v>25</c:v>
                </c:pt>
                <c:pt idx="1">
                  <c:v>33</c:v>
                </c:pt>
                <c:pt idx="2">
                  <c:v>25</c:v>
                </c:pt>
                <c:pt idx="3">
                  <c:v>27</c:v>
                </c:pt>
                <c:pt idx="4">
                  <c:v>28</c:v>
                </c:pt>
                <c:pt idx="5">
                  <c:v>22</c:v>
                </c:pt>
                <c:pt idx="6">
                  <c:v>28</c:v>
                </c:pt>
                <c:pt idx="7">
                  <c:v>27</c:v>
                </c:pt>
                <c:pt idx="8">
                  <c:v>31</c:v>
                </c:pt>
                <c:pt idx="9">
                  <c:v>56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</c:ser>
        <c:dLbls>
          <c:showVal val="1"/>
        </c:dLbls>
        <c:overlap val="-25"/>
        <c:axId val="82913152"/>
        <c:axId val="82914688"/>
        <c:extLst>
          <c:ext xmlns:c15="http://schemas.microsoft.com/office/drawing/2012/chart" uri="{02D57815-91ED-43cb-92C2-25804820EDAC}">
            <c15:filteredBa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Gráfica!$S$3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tint val="77000"/>
                          <a:shade val="51000"/>
                          <a:satMod val="130000"/>
                        </a:schemeClr>
                      </a:gs>
                      <a:gs pos="80000">
                        <a:schemeClr val="accent2">
                          <a:tint val="77000"/>
                          <a:shade val="93000"/>
                          <a:satMod val="130000"/>
                        </a:schemeClr>
                      </a:gs>
                      <a:gs pos="100000">
                        <a:schemeClr val="accent2">
                          <a:tint val="77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lang="es-ES" sz="10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MX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Gráfica!$O$4:$O$15</c15:sqref>
                        </c15:formulaRef>
                      </c:ext>
                    </c:extLst>
                    <c:strCache>
                      <c:ptCount val="12"/>
                      <c:pt idx="0">
                        <c:v>enero</c:v>
                      </c:pt>
                      <c:pt idx="1">
                        <c:v>febrero</c:v>
                      </c:pt>
                      <c:pt idx="2">
                        <c:v>marzo</c:v>
                      </c:pt>
                      <c:pt idx="3">
                        <c:v>abril</c:v>
                      </c:pt>
                      <c:pt idx="4">
                        <c:v>mayo</c:v>
                      </c:pt>
                      <c:pt idx="5">
                        <c:v>junio</c:v>
                      </c:pt>
                      <c:pt idx="6">
                        <c:v>julio</c:v>
                      </c:pt>
                      <c:pt idx="7">
                        <c:v>agosto</c:v>
                      </c:pt>
                      <c:pt idx="8">
                        <c:v>septiembre</c:v>
                      </c:pt>
                      <c:pt idx="9">
                        <c:v>octubre</c:v>
                      </c:pt>
                      <c:pt idx="10">
                        <c:v>noviembre</c:v>
                      </c:pt>
                      <c:pt idx="11">
                        <c:v>diciembre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Gráfica!$S$4:$S$15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40</c:v>
                      </c:pt>
                      <c:pt idx="2">
                        <c:v>32</c:v>
                      </c:pt>
                      <c:pt idx="3">
                        <c:v>29</c:v>
                      </c:pt>
                      <c:pt idx="4">
                        <c:v>40</c:v>
                      </c:pt>
                      <c:pt idx="5">
                        <c:v>53</c:v>
                      </c:pt>
                      <c:pt idx="6">
                        <c:v>34</c:v>
                      </c:pt>
                      <c:pt idx="7">
                        <c:v>39</c:v>
                      </c:pt>
                      <c:pt idx="8">
                        <c:v>52</c:v>
                      </c:pt>
                      <c:pt idx="9">
                        <c:v>36</c:v>
                      </c:pt>
                      <c:pt idx="10">
                        <c:v>19</c:v>
                      </c:pt>
                      <c:pt idx="11">
                        <c:v>18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8291315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2914688"/>
        <c:crosses val="autoZero"/>
        <c:auto val="1"/>
        <c:lblAlgn val="ctr"/>
        <c:lblOffset val="100"/>
      </c:catAx>
      <c:valAx>
        <c:axId val="82914688"/>
        <c:scaling>
          <c:orientation val="minMax"/>
        </c:scaling>
        <c:delete val="1"/>
        <c:axPos val="l"/>
        <c:numFmt formatCode="General" sourceLinked="1"/>
        <c:tickLblPos val="none"/>
        <c:crossAx val="829131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style val="29"/>
  <c:pivotSource>
    <c:name>[BASE DE DATOS 2015.xlsm]Reporte Mensual!FAMILIAS ATENDIDAS POR MES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Solicitudes Atendidas por Familia</a:t>
            </a:r>
          </a:p>
        </c:rich>
      </c:tx>
    </c:title>
    <c:pivotFmts>
      <c:pivotFmt>
        <c:idx val="0"/>
        <c:spPr>
          <a:solidFill>
            <a:srgbClr val="008000"/>
          </a:solidFill>
          <a:ln>
            <a:solidFill>
              <a:srgbClr val="008000"/>
            </a:solidFill>
          </a:ln>
        </c:spPr>
        <c:marker>
          <c:symbol val="none"/>
        </c:marker>
        <c:dLbl>
          <c:idx val="0"/>
          <c:dLblPos val="outEnd"/>
          <c:showVal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MX"/>
            </a:p>
          </c:txPr>
          <c:showVal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MX"/>
            </a:p>
          </c:txPr>
          <c:showVal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MX"/>
            </a:p>
          </c:txPr>
          <c:showVal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MX"/>
            </a:p>
          </c:txPr>
          <c:showVal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8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MX"/>
            </a:p>
          </c:txPr>
          <c:showVal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'Reporte Mensual'!$E$6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</c:spPr>
          <c:dLbls>
            <c:spPr/>
            <c:txPr>
              <a:bodyPr/>
              <a:lstStyle/>
              <a:p>
                <a:pPr>
                  <a:defRPr lang="es-ES"/>
                </a:pPr>
                <a:endParaRPr lang="es-MX"/>
              </a:p>
            </c:txPr>
            <c:showVal val="1"/>
          </c:dLbls>
          <c:cat>
            <c:strRef>
              <c:f>'Reporte Mensual'!$D$7:$D$33</c:f>
              <c:strCache>
                <c:ptCount val="26"/>
                <c:pt idx="0">
                  <c:v>RESTAURADOR</c:v>
                </c:pt>
                <c:pt idx="1">
                  <c:v>BANCOS DE CAPACITORES</c:v>
                </c:pt>
                <c:pt idx="2">
                  <c:v>BANCOS CAPACITORES</c:v>
                </c:pt>
                <c:pt idx="3">
                  <c:v>TLABLEROS </c:v>
                </c:pt>
                <c:pt idx="4">
                  <c:v>REGISTRO PARA BAJA TENSIÓN</c:v>
                </c:pt>
                <c:pt idx="5">
                  <c:v>CAPACITORES MONOFASICOS</c:v>
                </c:pt>
                <c:pt idx="6">
                  <c:v>GRÚA</c:v>
                </c:pt>
                <c:pt idx="7">
                  <c:v>POSTE</c:v>
                </c:pt>
                <c:pt idx="8">
                  <c:v>Herrajes</c:v>
                </c:pt>
                <c:pt idx="9">
                  <c:v>CARGADORES DE BATERÍAS</c:v>
                </c:pt>
                <c:pt idx="10">
                  <c:v>CORTACIRCUITOS</c:v>
                </c:pt>
                <c:pt idx="11">
                  <c:v>Tableros</c:v>
                </c:pt>
                <c:pt idx="12">
                  <c:v>Capacitores</c:v>
                </c:pt>
                <c:pt idx="13">
                  <c:v>Seccionamiento Automático</c:v>
                </c:pt>
                <c:pt idx="14">
                  <c:v>Bases y/o Medidores</c:v>
                </c:pt>
                <c:pt idx="15">
                  <c:v>Restauradores</c:v>
                </c:pt>
                <c:pt idx="16">
                  <c:v>Tapas y/o Registros</c:v>
                </c:pt>
                <c:pt idx="17">
                  <c:v>Interruptor de Potencia</c:v>
                </c:pt>
                <c:pt idx="18">
                  <c:v>Vehículo y/o Equipo Hidráulico</c:v>
                </c:pt>
                <c:pt idx="19">
                  <c:v>Banco de Capacitores</c:v>
                </c:pt>
                <c:pt idx="20">
                  <c:v>Postes</c:v>
                </c:pt>
                <c:pt idx="21">
                  <c:v>Apartarrayos</c:v>
                </c:pt>
                <c:pt idx="22">
                  <c:v>Seccionadores</c:v>
                </c:pt>
                <c:pt idx="23">
                  <c:v>Aisladores</c:v>
                </c:pt>
                <c:pt idx="24">
                  <c:v>Cuchillas</c:v>
                </c:pt>
                <c:pt idx="25">
                  <c:v>Transformadores</c:v>
                </c:pt>
              </c:strCache>
            </c:strRef>
          </c:cat>
          <c:val>
            <c:numRef>
              <c:f>'Reporte Mensual'!$E$7:$E$33</c:f>
              <c:numCache>
                <c:formatCode>General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6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9</c:v>
                </c:pt>
                <c:pt idx="22">
                  <c:v>15</c:v>
                </c:pt>
                <c:pt idx="23">
                  <c:v>16</c:v>
                </c:pt>
                <c:pt idx="24">
                  <c:v>16</c:v>
                </c:pt>
                <c:pt idx="25">
                  <c:v>222</c:v>
                </c:pt>
              </c:numCache>
            </c:numRef>
          </c:val>
        </c:ser>
        <c:dLbls>
          <c:showVal val="1"/>
        </c:dLbls>
        <c:overlap val="-25"/>
        <c:axId val="87100032"/>
        <c:axId val="87105920"/>
      </c:barChart>
      <c:catAx>
        <c:axId val="8710003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MX"/>
          </a:p>
        </c:txPr>
        <c:crossAx val="87105920"/>
        <c:crosses val="autoZero"/>
        <c:auto val="1"/>
        <c:lblAlgn val="ctr"/>
        <c:lblOffset val="100"/>
      </c:catAx>
      <c:valAx>
        <c:axId val="87105920"/>
        <c:scaling>
          <c:orientation val="minMax"/>
        </c:scaling>
        <c:delete val="1"/>
        <c:axPos val="l"/>
        <c:numFmt formatCode="General" sourceLinked="1"/>
        <c:tickLblPos val="none"/>
        <c:crossAx val="87100032"/>
        <c:crosses val="autoZero"/>
        <c:crossBetween val="between"/>
        <c:majorUnit val="5"/>
      </c:valAx>
    </c:plotArea>
    <c:legend>
      <c:legendPos val="t"/>
      <c:legendEntry>
        <c:idx val="0"/>
        <c:txPr>
          <a:bodyPr/>
          <a:lstStyle/>
          <a:p>
            <a:pPr>
              <a:defRPr sz="1400"/>
            </a:pPr>
            <a:endParaRPr lang="es-MX"/>
          </a:p>
        </c:txPr>
      </c:legendEntry>
      <c:layout>
        <c:manualLayout>
          <c:xMode val="edge"/>
          <c:yMode val="edge"/>
          <c:x val="0.3607298538964393"/>
          <c:y val="0.11027721774785386"/>
          <c:w val="0.16391692898329771"/>
          <c:h val="8.9721608048464768E-2"/>
        </c:manualLayout>
      </c:layout>
      <c:txPr>
        <a:bodyPr/>
        <a:lstStyle/>
        <a:p>
          <a:pPr>
            <a:defRPr lang="es-ES"/>
          </a:pPr>
          <a:endParaRPr lang="es-MX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12</xdr:row>
      <xdr:rowOff>133350</xdr:rowOff>
    </xdr:from>
    <xdr:to>
      <xdr:col>3</xdr:col>
      <xdr:colOff>1447800</xdr:colOff>
      <xdr:row>15</xdr:row>
      <xdr:rowOff>57150</xdr:rowOff>
    </xdr:to>
    <xdr:sp macro="[0]!EJECUTAR" textlink="">
      <xdr:nvSpPr>
        <xdr:cNvPr id="2" name="1 Rectángulo redondeado"/>
        <xdr:cNvSpPr/>
      </xdr:nvSpPr>
      <xdr:spPr>
        <a:xfrm>
          <a:off x="4210050" y="2419350"/>
          <a:ext cx="101917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EJECUTAR</a:t>
          </a:r>
        </a:p>
      </xdr:txBody>
    </xdr:sp>
    <xdr:clientData/>
  </xdr:twoCellAnchor>
  <xdr:twoCellAnchor>
    <xdr:from>
      <xdr:col>3</xdr:col>
      <xdr:colOff>438150</xdr:colOff>
      <xdr:row>16</xdr:row>
      <xdr:rowOff>123825</xdr:rowOff>
    </xdr:from>
    <xdr:to>
      <xdr:col>3</xdr:col>
      <xdr:colOff>1409700</xdr:colOff>
      <xdr:row>19</xdr:row>
      <xdr:rowOff>66675</xdr:rowOff>
    </xdr:to>
    <xdr:sp macro="[0]!LIMPIAR" textlink="">
      <xdr:nvSpPr>
        <xdr:cNvPr id="4" name="3 Flecha izquierda"/>
        <xdr:cNvSpPr/>
      </xdr:nvSpPr>
      <xdr:spPr>
        <a:xfrm>
          <a:off x="4219575" y="3171825"/>
          <a:ext cx="971550" cy="5143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LIMPIAR</a:t>
          </a:r>
        </a:p>
      </xdr:txBody>
    </xdr:sp>
    <xdr:clientData/>
  </xdr:twoCellAnchor>
  <xdr:oneCellAnchor>
    <xdr:from>
      <xdr:col>1</xdr:col>
      <xdr:colOff>345948</xdr:colOff>
      <xdr:row>0</xdr:row>
      <xdr:rowOff>19589</xdr:rowOff>
    </xdr:from>
    <xdr:ext cx="9248558" cy="937629"/>
    <xdr:sp macro="" textlink="">
      <xdr:nvSpPr>
        <xdr:cNvPr id="7" name="6 Rectángulo"/>
        <xdr:cNvSpPr/>
      </xdr:nvSpPr>
      <xdr:spPr>
        <a:xfrm>
          <a:off x="1565148" y="19589"/>
          <a:ext cx="9248558" cy="937629"/>
        </a:xfrm>
        <a:prstGeom prst="rect">
          <a:avLst/>
        </a:prstGeom>
        <a:effectLst>
          <a:outerShdw blurRad="40000" dist="20000" dir="5400000" rotWithShape="0">
            <a:srgbClr val="000000">
              <a:alpha val="38000"/>
            </a:srgbClr>
          </a:outerShdw>
          <a:softEdge rad="63500"/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es-ES" sz="5400" b="1" cap="none" spc="0">
              <a:ln/>
              <a:solidFill>
                <a:schemeClr val="accent3"/>
              </a:solidFill>
              <a:effectLst/>
            </a:rPr>
            <a:t>GERENCIA DE NORMALIZACIÓN</a:t>
          </a:r>
        </a:p>
      </xdr:txBody>
    </xdr:sp>
    <xdr:clientData/>
  </xdr:oneCellAnchor>
  <xdr:oneCellAnchor>
    <xdr:from>
      <xdr:col>1</xdr:col>
      <xdr:colOff>1133475</xdr:colOff>
      <xdr:row>5</xdr:row>
      <xdr:rowOff>10064</xdr:rowOff>
    </xdr:from>
    <xdr:ext cx="7772400" cy="843757"/>
    <xdr:sp macro="" textlink="">
      <xdr:nvSpPr>
        <xdr:cNvPr id="8" name="7 Rectángulo"/>
        <xdr:cNvSpPr/>
      </xdr:nvSpPr>
      <xdr:spPr>
        <a:xfrm>
          <a:off x="2352675" y="962564"/>
          <a:ext cx="7772400" cy="843757"/>
        </a:xfrm>
        <a:prstGeom prst="rect">
          <a:avLst/>
        </a:prstGeom>
        <a:ln/>
        <a:effectLst>
          <a:outerShdw blurRad="40000" dist="20000" dir="5400000" rotWithShape="0">
            <a:srgbClr val="000000">
              <a:alpha val="38000"/>
            </a:srgbClr>
          </a:outerShdw>
          <a:softEdge rad="6350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s-ES" sz="48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/>
            </a:rPr>
            <a:t>OFICINA DE NORMALIZACIÓN</a:t>
          </a:r>
        </a:p>
      </xdr:txBody>
    </xdr:sp>
    <xdr:clientData/>
  </xdr:oneCellAnchor>
  <xdr:oneCellAnchor>
    <xdr:from>
      <xdr:col>2</xdr:col>
      <xdr:colOff>603123</xdr:colOff>
      <xdr:row>9</xdr:row>
      <xdr:rowOff>105314</xdr:rowOff>
    </xdr:from>
    <xdr:ext cx="5963812" cy="405432"/>
    <xdr:sp macro="" textlink="">
      <xdr:nvSpPr>
        <xdr:cNvPr id="9" name="8 Rectángulo"/>
        <xdr:cNvSpPr/>
      </xdr:nvSpPr>
      <xdr:spPr>
        <a:xfrm>
          <a:off x="3041523" y="1819814"/>
          <a:ext cx="5963812" cy="405432"/>
        </a:xfrm>
        <a:prstGeom prst="rect">
          <a:avLst/>
        </a:prstGeom>
        <a:ln/>
        <a:effectLst>
          <a:outerShdw blurRad="40000" dist="20000" dir="5400000" rotWithShape="0">
            <a:srgbClr val="000000">
              <a:alpha val="38000"/>
            </a:srgbClr>
          </a:outerShdw>
          <a:softEdge rad="63500"/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s-ES" sz="20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BASE</a:t>
          </a:r>
          <a:r>
            <a:rPr lang="es-ES" sz="20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 DE DATOS DE CONFORMIDAD NORMATIVA 2012</a:t>
          </a:r>
          <a:endParaRPr lang="es-ES" sz="20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266699</xdr:colOff>
      <xdr:row>2</xdr:row>
      <xdr:rowOff>9524</xdr:rowOff>
    </xdr:from>
    <xdr:to>
      <xdr:col>13</xdr:col>
      <xdr:colOff>352424</xdr:colOff>
      <xdr:row>21</xdr:row>
      <xdr:rowOff>76199</xdr:rowOff>
    </xdr:to>
    <xdr:graphicFrame macro="">
      <xdr:nvGraphicFramePr>
        <xdr:cNvPr id="2" name="SAO'S ATENDID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295276</xdr:colOff>
      <xdr:row>1</xdr:row>
      <xdr:rowOff>104774</xdr:rowOff>
    </xdr:from>
    <xdr:to>
      <xdr:col>41</xdr:col>
      <xdr:colOff>581025</xdr:colOff>
      <xdr:row>21</xdr:row>
      <xdr:rowOff>95249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3</xdr:row>
      <xdr:rowOff>138112</xdr:rowOff>
    </xdr:from>
    <xdr:to>
      <xdr:col>16</xdr:col>
      <xdr:colOff>9525</xdr:colOff>
      <xdr:row>25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2380.428329513888" createdVersion="3" refreshedVersion="5" minRefreshableVersion="3" recordCount="351">
  <cacheSource type="worksheet">
    <worksheetSource ref="A1:Q352" sheet="Base de Datos"/>
  </cacheSource>
  <cacheFields count="17">
    <cacheField name="|" numFmtId="49">
      <sharedItems/>
    </cacheField>
    <cacheField name="FECHA RECEPCION" numFmtId="165">
      <sharedItems containsSemiMixedTypes="0" containsNonDate="0" containsDate="1" containsString="0" minDate="2012-01-03T00:00:00" maxDate="2015-12-23T00:00:00" count="687">
        <d v="2015-12-22T00:00:00"/>
        <d v="2015-12-18T00:00:00"/>
        <d v="2015-12-16T00:00:00"/>
        <d v="2015-12-15T00:00:00"/>
        <d v="2015-12-10T00:00:00"/>
        <d v="2015-12-09T00:00:00"/>
        <d v="2015-12-08T00:00:00"/>
        <d v="2015-12-03T00:00:00"/>
        <d v="2015-12-02T00:00:00"/>
        <d v="2015-12-01T00:00:00"/>
        <d v="2015-11-26T00:00:00"/>
        <d v="2015-11-25T00:00:00"/>
        <d v="2015-11-23T00:00:00"/>
        <d v="2015-11-17T00:00:00"/>
        <d v="2015-11-12T00:00:00"/>
        <d v="2015-11-11T00:00:00"/>
        <d v="2015-11-10T00:00:00"/>
        <d v="2015-11-06T00:00:00"/>
        <d v="2015-11-05T00:00:00"/>
        <d v="2015-10-30T00:00:00"/>
        <d v="2015-10-29T00:00:00"/>
        <d v="2015-10-23T00:00:00"/>
        <d v="2015-10-22T00:00:00"/>
        <d v="2015-10-21T00:00:00"/>
        <d v="2015-10-20T00:00:00"/>
        <d v="2015-10-16T00:00:00"/>
        <d v="2015-10-14T00:00:00"/>
        <d v="2015-10-13T00:00:00"/>
        <d v="2015-10-09T00:00:00"/>
        <d v="2015-10-08T00:00:00"/>
        <d v="2015-10-07T00:00:00"/>
        <d v="2015-10-05T00:00:00"/>
        <d v="2015-10-02T00:00:00"/>
        <d v="2015-10-01T00:00:00"/>
        <d v="2015-09-29T00:00:00"/>
        <d v="2015-09-28T00:00:00"/>
        <d v="2015-09-25T00:00:00"/>
        <d v="2015-09-23T00:00:00"/>
        <d v="2015-09-22T00:00:00"/>
        <d v="2015-09-21T00:00:00"/>
        <d v="2015-09-18T00:00:00"/>
        <d v="2015-09-17T00:00:00"/>
        <d v="2015-09-15T00:00:00"/>
        <d v="2015-09-14T00:00:00"/>
        <d v="2015-09-10T00:00:00"/>
        <d v="2015-09-11T00:00:00"/>
        <d v="2015-09-09T00:00:00"/>
        <d v="2015-09-08T00:00:00"/>
        <d v="2015-09-07T00:00:00"/>
        <d v="2015-09-04T00:00:00"/>
        <d v="2015-09-03T00:00:00"/>
        <d v="2015-09-02T00:00:00"/>
        <d v="2015-08-28T00:00:00"/>
        <d v="2015-08-27T00:00:00"/>
        <d v="2015-08-26T00:00:00"/>
        <d v="2015-08-25T00:00:00"/>
        <d v="2015-08-05T00:00:00"/>
        <d v="2015-08-21T00:00:00"/>
        <d v="2015-08-18T00:00:00"/>
        <d v="2015-08-17T00:00:00"/>
        <d v="2015-08-14T00:00:00"/>
        <d v="2015-08-13T00:00:00"/>
        <d v="2015-08-12T00:00:00"/>
        <d v="2015-08-10T00:00:00"/>
        <d v="2015-08-07T00:00:00"/>
        <d v="2015-08-03T00:00:00"/>
        <d v="2015-07-31T00:00:00"/>
        <d v="2015-07-30T00:00:00"/>
        <d v="2015-07-28T00:00:00"/>
        <d v="2015-07-27T00:00:00"/>
        <d v="2015-07-23T00:00:00"/>
        <d v="2015-07-22T00:00:00"/>
        <d v="2015-07-21T00:00:00"/>
        <d v="2015-07-20T00:00:00"/>
        <d v="2015-07-17T00:00:00"/>
        <d v="2015-07-16T00:00:00"/>
        <d v="2015-07-15T00:00:00"/>
        <d v="2015-07-14T00:00:00"/>
        <d v="2015-07-10T00:00:00"/>
        <d v="2015-07-09T00:00:00"/>
        <d v="2015-07-08T00:00:00"/>
        <d v="2015-07-07T00:00:00"/>
        <d v="2015-07-03T00:00:00"/>
        <d v="2015-07-01T00:00:00"/>
        <d v="2015-06-30T00:00:00"/>
        <d v="2015-06-25T00:00:00"/>
        <d v="2015-06-23T00:00:00"/>
        <d v="2015-06-19T00:00:00"/>
        <d v="2015-06-18T00:00:00"/>
        <d v="2015-06-17T00:00:00"/>
        <d v="2015-06-16T00:00:00"/>
        <d v="2015-06-15T00:00:00"/>
        <d v="2015-06-12T00:00:00"/>
        <d v="2015-06-08T00:00:00"/>
        <d v="2015-06-04T00:00:00"/>
        <d v="2015-06-02T00:00:00"/>
        <d v="2015-06-01T00:00:00"/>
        <d v="2015-05-29T00:00:00"/>
        <d v="2015-05-28T00:00:00"/>
        <d v="2015-05-27T00:00:00"/>
        <d v="2015-05-26T00:00:00"/>
        <d v="2015-05-22T00:00:00"/>
        <d v="2015-05-13T00:00:00"/>
        <d v="2015-05-11T00:00:00"/>
        <d v="2015-05-08T00:00:00"/>
        <d v="2015-05-07T00:00:00"/>
        <d v="2015-05-06T00:00:00"/>
        <d v="2015-05-05T00:00:00"/>
        <d v="2015-04-29T00:00:00"/>
        <d v="2015-04-28T00:00:00"/>
        <d v="2015-04-27T00:00:00"/>
        <d v="2015-04-24T00:00:00"/>
        <d v="2015-04-23T00:00:00"/>
        <d v="2015-04-21T00:00:00"/>
        <d v="2015-04-20T00:00:00"/>
        <d v="2015-04-17T00:00:00"/>
        <d v="2015-04-15T00:00:00"/>
        <d v="2015-04-13T00:00:00"/>
        <d v="2015-04-09T00:00:00"/>
        <d v="2015-04-10T00:00:00"/>
        <d v="2015-04-06T00:00:00"/>
        <d v="2015-03-27T00:00:00"/>
        <d v="2015-03-24T00:00:00"/>
        <d v="2015-03-23T00:00:00"/>
        <d v="2015-03-20T00:00:00"/>
        <d v="2015-03-18T00:00:00"/>
        <d v="2015-03-10T00:00:00"/>
        <d v="2015-03-09T00:00:00"/>
        <d v="2015-03-06T00:00:00"/>
        <d v="2015-02-27T00:00:00"/>
        <d v="2015-02-26T00:00:00"/>
        <d v="2015-02-23T00:00:00"/>
        <d v="2015-02-19T00:00:00"/>
        <d v="2015-02-18T00:00:00"/>
        <d v="2015-02-17T00:00:00"/>
        <d v="2015-02-13T00:00:00"/>
        <d v="2015-02-11T00:00:00"/>
        <d v="2015-02-09T00:00:00"/>
        <d v="2015-02-05T00:00:00"/>
        <d v="2015-02-04T00:00:00"/>
        <d v="2015-02-03T00:00:00"/>
        <d v="2015-01-30T00:00:00"/>
        <d v="2015-01-28T00:00:00"/>
        <d v="2015-01-27T00:00:00"/>
        <d v="2015-01-23T00:00:00"/>
        <d v="2015-01-22T00:00:00"/>
        <d v="2015-01-19T00:00:00"/>
        <d v="2015-01-15T00:00:00"/>
        <d v="2015-01-14T00:00:00"/>
        <d v="2015-01-13T00:00:00"/>
        <d v="2015-01-09T00:00:00"/>
        <d v="2015-01-08T00:00:00"/>
        <d v="2015-01-06T00:00:00"/>
        <d v="2015-01-05T00:00:00"/>
        <d v="2012-10-25T00:00:00" u="1"/>
        <d v="2014-09-29T00:00:00" u="1"/>
        <d v="2012-11-21T00:00:00" u="1"/>
        <d v="2012-12-17T00:00:00" u="1"/>
        <d v="2014-11-21T00:00:00" u="1"/>
        <d v="2013-12-17T00:00:00" u="1"/>
        <d v="2012-11-23T00:00:00" u="1"/>
        <d v="2014-10-27T00:00:00" u="1"/>
        <d v="2012-12-19T00:00:00" u="1"/>
        <d v="2014-12-19T00:00:00" u="1"/>
        <d v="2013-11-25T00:00:00" u="1"/>
        <d v="2012-12-21T00:00:00" u="1"/>
        <d v="2014-11-25T00:00:00" u="1"/>
        <d v="2013-01-02T00:00:00" u="1"/>
        <d v="2014-01-02T00:00:00" u="1"/>
        <d v="2013-10-31T00:00:00" u="1"/>
        <d v="2014-10-31T00:00:00" u="1"/>
        <d v="2013-11-27T00:00:00" u="1"/>
        <d v="2014-11-27T00:00:00" u="1"/>
        <d v="2012-01-04T00:00:00" u="1"/>
        <d v="2012-11-29T00:00:00" u="1"/>
        <d v="2013-11-29T00:00:00" u="1"/>
        <d v="2012-02-02T00:00:00" u="1"/>
        <d v="2013-01-08T00:00:00" u="1"/>
        <d v="2014-01-08T00:00:00" u="1"/>
        <d v="2014-02-04T00:00:00" u="1"/>
        <d v="2012-01-10T00:00:00" u="1"/>
        <d v="2013-01-10T00:00:00" u="1"/>
        <d v="2014-01-10T00:00:00" u="1"/>
        <d v="2012-01-12T00:00:00" u="1"/>
        <d v="2012-02-08T00:00:00" u="1"/>
        <d v="2013-02-08T00:00:00" u="1"/>
        <d v="2013-03-04T00:00:00" u="1"/>
        <d v="2013-01-14T00:00:00" u="1"/>
        <d v="2014-01-14T00:00:00" u="1"/>
        <d v="2014-02-10T00:00:00" u="1"/>
        <d v="2013-03-06T00:00:00" u="1"/>
        <d v="2012-04-02T00:00:00" u="1"/>
        <d v="2013-04-02T00:00:00" u="1"/>
        <d v="2014-04-02T00:00:00" u="1"/>
        <d v="2012-01-16T00:00:00" u="1"/>
        <d v="2013-01-16T00:00:00" u="1"/>
        <d v="2014-01-16T00:00:00" u="1"/>
        <d v="2014-02-12T00:00:00" u="1"/>
        <d v="2013-03-08T00:00:00" u="1"/>
        <d v="2013-04-04T00:00:00" u="1"/>
        <d v="2014-04-04T00:00:00" u="1"/>
        <d v="2012-01-18T00:00:00" u="1"/>
        <d v="2013-01-18T00:00:00" u="1"/>
        <d v="2012-02-14T00:00:00" u="1"/>
        <d v="2013-02-14T00:00:00" u="1"/>
        <d v="2014-02-14T00:00:00" u="1"/>
        <d v="2014-03-10T00:00:00" u="1"/>
        <d v="2012-05-02T00:00:00" u="1"/>
        <d v="2013-05-02T00:00:00" u="1"/>
        <d v="2014-05-02T00:00:00" u="1"/>
        <d v="2012-01-20T00:00:00" u="1"/>
        <d v="2012-02-16T00:00:00" u="1"/>
        <d v="2014-01-20T00:00:00" u="1"/>
        <d v="2012-03-12T00:00:00" u="1"/>
        <d v="2014-03-12T00:00:00" u="1"/>
        <d v="2012-05-04T00:00:00" u="1"/>
        <d v="2014-04-08T00:00:00" u="1"/>
        <d v="2013-01-22T00:00:00" u="1"/>
        <d v="2014-01-22T00:00:00" u="1"/>
        <d v="2013-02-18T00:00:00" u="1"/>
        <d v="2012-03-14T00:00:00" u="1"/>
        <d v="2014-02-18T00:00:00" u="1"/>
        <d v="2013-03-14T00:00:00" u="1"/>
        <d v="2012-04-10T00:00:00" u="1"/>
        <d v="2014-03-14T00:00:00" u="1"/>
        <d v="2013-04-10T00:00:00" u="1"/>
        <d v="2014-04-10T00:00:00" u="1"/>
        <d v="2013-05-06T00:00:00" u="1"/>
        <d v="2014-05-06T00:00:00" u="1"/>
        <d v="2014-06-02T00:00:00" u="1"/>
        <d v="2012-01-24T00:00:00" u="1"/>
        <d v="2012-02-20T00:00:00" u="1"/>
        <d v="2013-02-20T00:00:00" u="1"/>
        <d v="2012-03-16T00:00:00" u="1"/>
        <d v="2012-04-12T00:00:00" u="1"/>
        <d v="2013-04-12T00:00:00" u="1"/>
        <d v="2012-05-08T00:00:00" u="1"/>
        <d v="2012-06-04T00:00:00" u="1"/>
        <d v="2014-05-08T00:00:00" u="1"/>
        <d v="2013-06-04T00:00:00" u="1"/>
        <d v="2014-06-04T00:00:00" u="1"/>
        <d v="2012-01-26T00:00:00" u="1"/>
        <d v="2012-02-22T00:00:00" u="1"/>
        <d v="2013-02-22T00:00:00" u="1"/>
        <d v="2014-03-18T00:00:00" u="1"/>
        <d v="2012-05-10T00:00:00" u="1"/>
        <d v="2014-04-14T00:00:00" u="1"/>
        <d v="2013-05-10T00:00:00" u="1"/>
        <d v="2013-06-06T00:00:00" u="1"/>
        <d v="2014-06-06T00:00:00" u="1"/>
        <d v="2013-07-02T00:00:00" u="1"/>
        <d v="2014-07-02T00:00:00" u="1"/>
        <d v="2013-01-28T00:00:00" u="1"/>
        <d v="2012-02-24T00:00:00" u="1"/>
        <d v="2014-01-28T00:00:00" u="1"/>
        <d v="2013-03-20T00:00:00" u="1"/>
        <d v="2012-04-16T00:00:00" u="1"/>
        <d v="2013-04-16T00:00:00" u="1"/>
        <d v="2012-06-08T00:00:00" u="1"/>
        <d v="2014-05-12T00:00:00" u="1"/>
        <d v="2012-07-04T00:00:00" u="1"/>
        <d v="2013-07-04T00:00:00" u="1"/>
        <d v="2014-07-04T00:00:00" u="1"/>
        <d v="2012-01-30T00:00:00" u="1"/>
        <d v="2013-01-30T00:00:00" u="1"/>
        <d v="2014-01-30T00:00:00" u="1"/>
        <d v="2013-02-26T00:00:00" u="1"/>
        <d v="2012-03-22T00:00:00" u="1"/>
        <d v="2013-03-22T00:00:00" u="1"/>
        <d v="2012-04-18T00:00:00" u="1"/>
        <d v="2013-04-18T00:00:00" u="1"/>
        <d v="2012-05-14T00:00:00" u="1"/>
        <d v="2013-05-14T00:00:00" u="1"/>
        <d v="2014-05-14T00:00:00" u="1"/>
        <d v="2013-06-10T00:00:00" u="1"/>
        <d v="2012-07-06T00:00:00" u="1"/>
        <d v="2014-06-10T00:00:00" u="1"/>
        <d v="2012-08-02T00:00:00" u="1"/>
        <d v="2013-08-02T00:00:00" u="1"/>
        <d v="2013-02-28T00:00:00" u="1"/>
        <d v="2014-02-28T00:00:00" u="1"/>
        <d v="2012-04-20T00:00:00" u="1"/>
        <d v="2012-05-16T00:00:00" u="1"/>
        <d v="2012-06-12T00:00:00" u="1"/>
        <d v="2014-05-16T00:00:00" u="1"/>
        <d v="2013-06-12T00:00:00" u="1"/>
        <d v="2013-07-08T00:00:00" u="1"/>
        <d v="2014-07-08T00:00:00" u="1"/>
        <d v="2014-08-04T00:00:00" u="1"/>
        <d v="2012-03-26T00:00:00" u="1"/>
        <d v="2013-04-22T00:00:00" u="1"/>
        <d v="2014-04-22T00:00:00" u="1"/>
        <d v="2012-06-14T00:00:00" u="1"/>
        <d v="2013-06-14T00:00:00" u="1"/>
        <d v="2012-07-10T00:00:00" u="1"/>
        <d v="2013-07-10T00:00:00" u="1"/>
        <d v="2012-08-06T00:00:00" u="1"/>
        <d v="2014-08-06T00:00:00" u="1"/>
        <d v="2013-09-02T00:00:00" u="1"/>
        <d v="2014-09-02T00:00:00" u="1"/>
        <d v="2012-03-28T00:00:00" u="1"/>
        <d v="2012-04-24T00:00:00" u="1"/>
        <d v="2014-03-28T00:00:00" u="1"/>
        <d v="2013-04-24T00:00:00" u="1"/>
        <d v="2014-04-24T00:00:00" u="1"/>
        <d v="2013-05-20T00:00:00" u="1"/>
        <d v="2014-05-20T00:00:00" u="1"/>
        <d v="2012-07-12T00:00:00" u="1"/>
        <d v="2014-06-16T00:00:00" u="1"/>
        <d v="2012-08-08T00:00:00" u="1"/>
        <d v="2013-08-08T00:00:00" u="1"/>
        <d v="2012-09-04T00:00:00" u="1"/>
        <d v="2013-09-04T00:00:00" u="1"/>
        <d v="2014-09-04T00:00:00" u="1"/>
        <d v="2012-03-30T00:00:00" u="1"/>
        <d v="2013-04-26T00:00:00" u="1"/>
        <d v="2012-05-22T00:00:00" u="1"/>
        <d v="2012-06-18T00:00:00" u="1"/>
        <d v="2014-05-22T00:00:00" u="1"/>
        <d v="2013-06-18T00:00:00" u="1"/>
        <d v="2014-06-18T00:00:00" u="1"/>
        <d v="2012-09-06T00:00:00" u="1"/>
        <d v="2013-09-06T00:00:00" u="1"/>
        <d v="2013-10-02T00:00:00" u="1"/>
        <d v="2014-10-02T00:00:00" u="1"/>
        <d v="2012-05-24T00:00:00" u="1"/>
        <d v="2013-05-24T00:00:00" u="1"/>
        <d v="2012-06-20T00:00:00" u="1"/>
        <d v="2012-07-16T00:00:00" u="1"/>
        <d v="2014-06-20T00:00:00" u="1"/>
        <d v="2013-07-16T00:00:00" u="1"/>
        <d v="2014-07-16T00:00:00" u="1"/>
        <d v="2013-08-12T00:00:00" u="1"/>
        <d v="2014-08-12T00:00:00" u="1"/>
        <d v="2012-10-04T00:00:00" u="1"/>
        <d v="2014-09-08T00:00:00" u="1"/>
        <d v="2013-10-04T00:00:00" u="1"/>
        <d v="2012-04-30T00:00:00" u="1"/>
        <d v="2013-04-30T00:00:00" u="1"/>
        <d v="2014-04-30T00:00:00" u="1"/>
        <d v="2012-06-22T00:00:00" u="1"/>
        <d v="2012-07-18T00:00:00" u="1"/>
        <d v="2013-07-18T00:00:00" u="1"/>
        <d v="2012-08-14T00:00:00" u="1"/>
        <d v="2013-08-14T00:00:00" u="1"/>
        <d v="2012-09-10T00:00:00" u="1"/>
        <d v="2013-09-10T00:00:00" u="1"/>
        <d v="2012-10-06T00:00:00" u="1"/>
        <d v="2012-11-02T00:00:00" u="1"/>
        <d v="2014-10-06T00:00:00" u="1"/>
        <d v="2012-05-28T00:00:00" u="1"/>
        <d v="2013-05-28T00:00:00" u="1"/>
        <d v="2013-06-24T00:00:00" u="1"/>
        <d v="2012-07-20T00:00:00" u="1"/>
        <d v="2014-06-24T00:00:00" u="1"/>
        <d v="2013-08-16T00:00:00" u="1"/>
        <d v="2012-09-12T00:00:00" u="1"/>
        <d v="2012-10-08T00:00:00" u="1"/>
        <d v="2013-10-08T00:00:00" u="1"/>
        <d v="2013-11-04T00:00:00" u="1"/>
        <d v="2014-11-04T00:00:00" u="1"/>
        <d v="2012-05-30T00:00:00" u="1"/>
        <d v="2013-05-30T00:00:00" u="1"/>
        <d v="2012-06-26T00:00:00" u="1"/>
        <d v="2014-05-30T00:00:00" u="1"/>
        <d v="2013-06-26T00:00:00" u="1"/>
        <d v="2014-06-26T00:00:00" u="1"/>
        <d v="2013-07-22T00:00:00" u="1"/>
        <d v="2014-07-22T00:00:00" u="1"/>
        <d v="2012-09-14T00:00:00" u="1"/>
        <d v="2013-10-10T00:00:00" u="1"/>
        <d v="2012-11-06T00:00:00" u="1"/>
        <d v="2014-10-10T00:00:00" u="1"/>
        <d v="2013-12-02T00:00:00" u="1"/>
        <d v="2012-06-28T00:00:00" u="1"/>
        <d v="2012-07-24T00:00:00" u="1"/>
        <d v="2012-08-20T00:00:00" u="1"/>
        <d v="2013-08-20T00:00:00" u="1"/>
        <d v="2014-08-20T00:00:00" u="1"/>
        <d v="2012-10-12T00:00:00" u="1"/>
        <d v="2012-11-08T00:00:00" u="1"/>
        <d v="2013-11-08T00:00:00" u="1"/>
        <d v="2012-12-04T00:00:00" u="1"/>
        <d v="2013-12-04T00:00:00" u="1"/>
        <d v="2014-12-04T00:00:00" u="1"/>
        <d v="2012-07-26T00:00:00" u="1"/>
        <d v="2014-06-30T00:00:00" u="1"/>
        <d v="2013-07-26T00:00:00" u="1"/>
        <d v="2012-08-22T00:00:00" u="1"/>
        <d v="2013-08-22T00:00:00" u="1"/>
        <d v="2012-09-18T00:00:00" u="1"/>
        <d v="2013-09-18T00:00:00" u="1"/>
        <d v="2013-10-14T00:00:00" u="1"/>
        <d v="2013-12-06T00:00:00" u="1"/>
        <d v="2012-08-24T00:00:00" u="1"/>
        <d v="2014-07-28T00:00:00" u="1"/>
        <d v="2012-09-20T00:00:00" u="1"/>
        <d v="2013-09-20T00:00:00" u="1"/>
        <d v="2012-10-16T00:00:00" u="1"/>
        <d v="2013-10-16T00:00:00" u="1"/>
        <d v="2012-11-12T00:00:00" u="1"/>
        <d v="2014-11-12T00:00:00" u="1"/>
        <d v="2012-07-30T00:00:00" u="1"/>
        <d v="2014-07-30T00:00:00" u="1"/>
        <d v="2012-10-18T00:00:00" u="1"/>
        <d v="2014-09-22T00:00:00" u="1"/>
        <d v="2013-12-10T00:00:00" u="1"/>
        <d v="2014-12-10T00:00:00" u="1"/>
        <d v="2012-08-28T00:00:00" u="1"/>
        <d v="2013-08-28T00:00:00" u="1"/>
        <d v="2012-09-24T00:00:00" u="1"/>
        <d v="2014-08-28T00:00:00" u="1"/>
        <d v="2014-09-24T00:00:00" u="1"/>
        <d v="2012-11-16T00:00:00" u="1"/>
        <d v="2012-12-12T00:00:00" u="1"/>
        <d v="2014-12-12T00:00:00" u="1"/>
        <d v="2012-08-30T00:00:00" u="1"/>
        <d v="2013-08-30T00:00:00" u="1"/>
        <d v="2012-09-26T00:00:00" u="1"/>
        <d v="2013-09-26T00:00:00" u="1"/>
        <d v="2012-10-22T00:00:00" u="1"/>
        <d v="2014-09-26T00:00:00" u="1"/>
        <d v="2014-10-22T00:00:00" u="1"/>
        <d v="2012-12-14T00:00:00" u="1"/>
        <d v="2014-11-18T00:00:00" u="1"/>
        <d v="2014-10-24T00:00:00" u="1"/>
        <d v="2013-11-20T00:00:00" u="1"/>
        <d v="2013-12-16T00:00:00" u="1"/>
        <d v="2014-12-16T00:00:00" u="1"/>
        <d v="2012-10-26T00:00:00" u="1"/>
        <d v="2014-09-30T00:00:00" u="1"/>
        <d v="2012-11-22T00:00:00" u="1"/>
        <d v="2013-11-22T00:00:00" u="1"/>
        <d v="2012-12-18T00:00:00" u="1"/>
        <d v="2014-12-18T00:00:00" u="1"/>
        <d v="2013-10-28T00:00:00" u="1"/>
        <d v="2012-12-20T00:00:00" u="1"/>
        <d v="2015-01-01T00:00:00" u="1"/>
        <d v="2012-10-30T00:00:00" u="1"/>
        <d v="2013-10-30T00:00:00" u="1"/>
        <d v="2013-11-26T00:00:00" u="1"/>
        <d v="2012-01-03T00:00:00" u="1"/>
        <d v="2013-01-03T00:00:00" u="1"/>
        <d v="2012-11-28T00:00:00" u="1"/>
        <d v="2013-11-28T00:00:00" u="1"/>
        <d v="2014-11-28T00:00:00" u="1"/>
        <d v="2012-01-05T00:00:00" u="1"/>
        <d v="2012-02-01T00:00:00" u="1"/>
        <d v="2012-02-03T00:00:00" u="1"/>
        <d v="2012-01-09T00:00:00" u="1"/>
        <d v="2013-01-09T00:00:00" u="1"/>
        <d v="2014-01-09T00:00:00" u="1"/>
        <d v="2013-02-05T00:00:00" u="1"/>
        <d v="2014-02-05T00:00:00" u="1"/>
        <d v="2012-01-11T00:00:00" u="1"/>
        <d v="2013-01-11T00:00:00" u="1"/>
        <d v="2012-02-07T00:00:00" u="1"/>
        <d v="2013-02-07T00:00:00" u="1"/>
        <d v="2014-02-07T00:00:00" u="1"/>
        <d v="2014-03-03T00:00:00" u="1"/>
        <d v="2014-01-13T00:00:00" u="1"/>
        <d v="2013-03-05T00:00:00" u="1"/>
        <d v="2014-03-05T00:00:00" u="1"/>
        <d v="2013-04-01T00:00:00" u="1"/>
        <d v="2014-04-01T00:00:00" u="1"/>
        <d v="2013-01-15T00:00:00" u="1"/>
        <d v="2014-01-15T00:00:00" u="1"/>
        <d v="2013-02-11T00:00:00" u="1"/>
        <d v="2014-02-11T00:00:00" u="1"/>
        <d v="2013-03-07T00:00:00" u="1"/>
        <d v="2014-03-07T00:00:00" u="1"/>
        <d v="2013-01-17T00:00:00" u="1"/>
        <d v="2012-02-13T00:00:00" u="1"/>
        <d v="2013-02-13T00:00:00" u="1"/>
        <d v="2014-02-13T00:00:00" u="1"/>
        <d v="2012-01-19T00:00:00" u="1"/>
        <d v="2012-02-15T00:00:00" u="1"/>
        <d v="2013-02-15T00:00:00" u="1"/>
        <d v="2013-03-11T00:00:00" u="1"/>
        <d v="2014-03-11T00:00:00" u="1"/>
        <d v="2012-05-03T00:00:00" u="1"/>
        <d v="2014-04-07T00:00:00" u="1"/>
        <d v="2014-01-21T00:00:00" u="1"/>
        <d v="2012-03-13T00:00:00" u="1"/>
        <d v="2014-02-17T00:00:00" u="1"/>
        <d v="2013-03-13T00:00:00" u="1"/>
        <d v="2012-04-09T00:00:00" u="1"/>
        <d v="2014-03-13T00:00:00" u="1"/>
        <d v="2013-04-09T00:00:00" u="1"/>
        <d v="2014-04-09T00:00:00" u="1"/>
        <d v="2012-06-01T00:00:00" u="1"/>
        <d v="2012-01-23T00:00:00" u="1"/>
        <d v="2014-01-23T00:00:00" u="1"/>
        <d v="2013-02-19T00:00:00" u="1"/>
        <d v="2012-03-15T00:00:00" u="1"/>
        <d v="2014-02-19T00:00:00" u="1"/>
        <d v="2013-03-15T00:00:00" u="1"/>
        <d v="2012-04-11T00:00:00" u="1"/>
        <d v="2014-04-11T00:00:00" u="1"/>
        <d v="2014-05-07T00:00:00" u="1"/>
        <d v="2013-06-03T00:00:00" u="1"/>
        <d v="2013-01-25T00:00:00" u="1"/>
        <d v="2012-02-21T00:00:00" u="1"/>
        <d v="2013-02-21T00:00:00" u="1"/>
        <d v="2014-02-21T00:00:00" u="1"/>
        <d v="2012-05-09T00:00:00" u="1"/>
        <d v="2012-06-05T00:00:00" u="1"/>
        <d v="2014-05-09T00:00:00" u="1"/>
        <d v="2013-06-05T00:00:00" u="1"/>
        <d v="2014-06-05T00:00:00" u="1"/>
        <d v="2013-07-01T00:00:00" u="1"/>
        <d v="2012-01-27T00:00:00" u="1"/>
        <d v="2012-02-23T00:00:00" u="1"/>
        <d v="2014-01-27T00:00:00" u="1"/>
        <d v="2013-03-19T00:00:00" u="1"/>
        <d v="2014-03-19T00:00:00" u="1"/>
        <d v="2013-04-15T00:00:00" u="1"/>
        <d v="2012-05-11T00:00:00" u="1"/>
        <d v="2012-06-07T00:00:00" u="1"/>
        <d v="2013-06-07T00:00:00" u="1"/>
        <d v="2014-06-07T00:00:00" u="1"/>
        <d v="2013-07-03T00:00:00" u="1"/>
        <d v="2014-07-03T00:00:00" u="1"/>
        <d v="2013-01-29T00:00:00" u="1"/>
        <d v="2014-01-29T00:00:00" u="1"/>
        <d v="2013-02-25T00:00:00" u="1"/>
        <d v="2012-03-21T00:00:00" u="1"/>
        <d v="2014-02-25T00:00:00" u="1"/>
        <d v="2013-03-21T00:00:00" u="1"/>
        <d v="2012-04-17T00:00:00" u="1"/>
        <d v="2014-03-21T00:00:00" u="1"/>
        <d v="2013-05-13T00:00:00" u="1"/>
        <d v="2014-05-13T00:00:00" u="1"/>
        <d v="2012-07-05T00:00:00" u="1"/>
        <d v="2013-07-05T00:00:00" u="1"/>
        <d v="2012-08-01T00:00:00" u="1"/>
        <d v="2013-08-01T00:00:00" u="1"/>
        <d v="2012-01-31T00:00:00" u="1"/>
        <d v="2012-02-27T00:00:00" u="1"/>
        <d v="2013-02-27T00:00:00" u="1"/>
        <d v="2014-02-27T00:00:00" u="1"/>
        <d v="2012-04-19T00:00:00" u="1"/>
        <d v="2012-05-15T00:00:00" u="1"/>
        <d v="2013-05-15T00:00:00" u="1"/>
        <d v="2012-06-11T00:00:00" u="1"/>
        <d v="2014-06-11T00:00:00" u="1"/>
        <d v="2012-08-03T00:00:00" u="1"/>
        <d v="2014-07-07T00:00:00" u="1"/>
        <d v="2013-03-25T00:00:00" u="1"/>
        <d v="2012-05-17T00:00:00" u="1"/>
        <d v="2014-04-21T00:00:00" u="1"/>
        <d v="2013-05-17T00:00:00" u="1"/>
        <d v="2012-06-13T00:00:00" u="1"/>
        <d v="2013-06-13T00:00:00" u="1"/>
        <d v="2012-07-09T00:00:00" u="1"/>
        <d v="2014-06-13T00:00:00" u="1"/>
        <d v="2013-07-09T00:00:00" u="1"/>
        <d v="2014-09-01T00:00:00" u="1"/>
        <d v="2012-04-23T00:00:00" u="1"/>
        <d v="2014-03-27T00:00:00" u="1"/>
        <d v="2013-04-23T00:00:00" u="1"/>
        <d v="2014-04-23T00:00:00" u="1"/>
        <d v="2012-06-15T00:00:00" u="1"/>
        <d v="2014-05-19T00:00:00" u="1"/>
        <d v="2012-07-11T00:00:00" u="1"/>
        <d v="2013-07-11T00:00:00" u="1"/>
        <d v="2012-08-07T00:00:00" u="1"/>
        <d v="2014-07-11T00:00:00" u="1"/>
        <d v="2013-08-07T00:00:00" u="1"/>
        <d v="2012-09-03T00:00:00" u="1"/>
        <d v="2013-09-03T00:00:00" u="1"/>
        <d v="2014-09-03T00:00:00" u="1"/>
        <d v="2012-03-29T00:00:00" u="1"/>
        <d v="2013-04-25T00:00:00" u="1"/>
        <d v="2012-05-21T00:00:00" u="1"/>
        <d v="2013-05-21T00:00:00" u="1"/>
        <d v="2014-05-21T00:00:00" u="1"/>
        <d v="2013-06-17T00:00:00" u="1"/>
        <d v="2014-06-17T00:00:00" u="1"/>
        <d v="2013-08-09T00:00:00" u="1"/>
        <d v="2012-09-05T00:00:00" u="1"/>
        <d v="2012-10-01T00:00:00" u="1"/>
        <d v="2013-10-01T00:00:00" u="1"/>
        <d v="2014-10-01T00:00:00" u="1"/>
        <d v="2012-04-27T00:00:00" u="1"/>
        <d v="2012-05-23T00:00:00" u="1"/>
        <d v="2013-05-23T00:00:00" u="1"/>
        <d v="2012-06-19T00:00:00" u="1"/>
        <d v="2013-06-19T00:00:00" u="1"/>
        <d v="2013-07-15T00:00:00" u="1"/>
        <d v="2014-07-15T00:00:00" u="1"/>
        <d v="2012-09-07T00:00:00" u="1"/>
        <d v="2012-10-03T00:00:00" u="1"/>
        <d v="2013-10-03T00:00:00" u="1"/>
        <d v="2013-04-29T00:00:00" u="1"/>
        <d v="2014-04-29T00:00:00" u="1"/>
        <d v="2012-06-21T00:00:00" u="1"/>
        <d v="2013-06-21T00:00:00" u="1"/>
        <d v="2012-08-13T00:00:00" u="1"/>
        <d v="2014-07-17T00:00:00" u="1"/>
        <d v="2013-08-13T00:00:00" u="1"/>
        <d v="2014-09-09T00:00:00" u="1"/>
        <d v="2013-11-01T00:00:00" u="1"/>
        <d v="2013-05-27T00:00:00" u="1"/>
        <d v="2014-05-27T00:00:00" u="1"/>
        <d v="2012-07-19T00:00:00" u="1"/>
        <d v="2012-08-15T00:00:00" u="1"/>
        <d v="2014-08-15T00:00:00" u="1"/>
        <d v="2013-10-07T00:00:00" u="1"/>
        <d v="2014-10-07T00:00:00" u="1"/>
        <d v="2012-05-29T00:00:00" u="1"/>
        <d v="2013-05-29T00:00:00" u="1"/>
        <d v="2012-06-25T00:00:00" u="1"/>
        <d v="2014-05-29T00:00:00" u="1"/>
        <d v="2013-06-25T00:00:00" u="1"/>
        <d v="2014-06-25T00:00:00" u="1"/>
        <d v="2012-08-17T00:00:00" u="1"/>
        <d v="2014-07-21T00:00:00" u="1"/>
        <d v="2012-09-13T00:00:00" u="1"/>
        <d v="2013-09-13T00:00:00" u="1"/>
        <d v="2012-10-09T00:00:00" u="1"/>
        <d v="2013-10-09T00:00:00" u="1"/>
        <d v="2012-11-05T00:00:00" u="1"/>
        <d v="2014-11-05T00:00:00" u="1"/>
        <d v="2014-12-01T00:00:00" u="1"/>
        <d v="2012-05-31T00:00:00" u="1"/>
        <d v="2013-05-31T00:00:00" u="1"/>
        <d v="2012-06-27T00:00:00" u="1"/>
        <d v="2013-06-27T00:00:00" u="1"/>
        <d v="2014-06-27T00:00:00" u="1"/>
        <d v="2013-07-23T00:00:00" u="1"/>
        <d v="2013-08-19T00:00:00" u="1"/>
        <d v="2014-08-19T00:00:00" u="1"/>
        <d v="2012-10-11T00:00:00" u="1"/>
        <d v="2012-11-07T00:00:00" u="1"/>
        <d v="2013-11-07T00:00:00" u="1"/>
        <d v="2012-12-03T00:00:00" u="1"/>
        <d v="2014-11-07T00:00:00" u="1"/>
        <d v="2013-12-03T00:00:00" u="1"/>
        <d v="2014-12-03T00:00:00" u="1"/>
        <d v="2013-07-25T00:00:00" u="1"/>
        <d v="2012-08-21T00:00:00" u="1"/>
        <d v="2012-09-17T00:00:00" u="1"/>
        <d v="2013-09-17T00:00:00" u="1"/>
        <d v="2014-09-17T00:00:00" u="1"/>
        <d v="2012-11-09T00:00:00" u="1"/>
        <d v="2012-12-05T00:00:00" u="1"/>
        <d v="2013-12-05T00:00:00" u="1"/>
        <d v="2014-12-05T00:00:00" u="1"/>
        <d v="2012-08-23T00:00:00" u="1"/>
        <d v="2013-08-23T00:00:00" u="1"/>
        <d v="2012-09-19T00:00:00" u="1"/>
        <d v="2013-09-19T00:00:00" u="1"/>
        <d v="2012-10-15T00:00:00" u="1"/>
        <d v="2013-10-15T00:00:00" u="1"/>
        <d v="2013-11-11T00:00:00" u="1"/>
        <d v="2012-12-07T00:00:00" u="1"/>
        <d v="2014-11-11T00:00:00" u="1"/>
        <d v="2013-07-29T00:00:00" u="1"/>
        <d v="2012-09-21T00:00:00" u="1"/>
        <d v="2014-08-25T00:00:00" u="1"/>
        <d v="2012-10-17T00:00:00" u="1"/>
        <d v="2013-10-17T00:00:00" u="1"/>
        <d v="2012-11-13T00:00:00" u="1"/>
        <d v="2014-10-17T00:00:00" u="1"/>
        <d v="2013-12-09T00:00:00" u="1"/>
        <d v="2012-07-31T00:00:00" u="1"/>
        <d v="2012-08-27T00:00:00" u="1"/>
        <d v="2014-07-31T00:00:00" u="1"/>
        <d v="2014-08-27T00:00:00" u="1"/>
        <d v="2012-10-19T00:00:00" u="1"/>
        <d v="2012-11-15T00:00:00" u="1"/>
        <d v="2013-11-15T00:00:00" u="1"/>
        <d v="2013-12-11T00:00:00" u="1"/>
        <d v="2012-08-29T00:00:00" u="1"/>
        <d v="2012-09-25T00:00:00" u="1"/>
        <d v="2014-08-29T00:00:00" u="1"/>
        <d v="2013-09-25T00:00:00" u="1"/>
        <d v="2014-09-25T00:00:00" u="1"/>
        <d v="2013-10-21T00:00:00" u="1"/>
        <d v="2014-10-21T00:00:00" u="1"/>
        <d v="2013-12-13T00:00:00" u="1"/>
        <d v="2012-08-31T00:00:00" u="1"/>
        <d v="2012-09-27T00:00:00" u="1"/>
        <d v="2013-09-27T00:00:00" u="1"/>
        <d v="2012-10-23T00:00:00" u="1"/>
        <d v="2013-10-23T00:00:00" u="1"/>
      </sharedItems>
    </cacheField>
    <cacheField name="ESPECIFICACIÓN" numFmtId="49">
      <sharedItems containsBlank="1" count="105">
        <s v="CFE-K0000-07-2015"/>
        <s v="NRF-026-CFE-2004*"/>
        <s v="CFE-G0000-90-2004"/>
        <s v="NRF-025-CFE-2009"/>
        <s v="CFE-K0000-07-2007"/>
        <s v="CFE-K0000-08-2007"/>
        <s v="CFE-K0000-04-2007"/>
        <s v="CFE-V6700-71-2011"/>
        <s v="NDLS-2008"/>
        <s v="CFE-K0000-13-2006"/>
        <s v="CFE-VM000-51-2005"/>
        <s v="CFE-VP000-59-2000"/>
        <s v="NRF-022-CFE-2010*"/>
        <s v="CFE-P0000-33-2009"/>
        <s v="CFE-52000-66-2004"/>
        <s v="CFE-K0000-19-2007"/>
        <s v="CFE-GWH00-11-2011"/>
        <s v="CFE-V4200-12-2012"/>
        <s v="CFE-V4200-25-2006"/>
        <s v="CFE-VH000-11-2007"/>
        <s v="CFE-K0000-22-2007"/>
        <s v="CFE-JA100-67-"/>
        <s v="NRF-027-CFE-2010"/>
        <s v="CFE-V8000-67-2006"/>
        <s v="CFE-K0000-05 2007"/>
        <s v="CFE-2A400-09-2011"/>
        <s v="CFE-2DI00-38-2011"/>
        <s v="NRF-029-CFE-2006"/>
        <s v="CFE-52000-91-2008"/>
        <s v="SIN ESPECIFICACIÓN"/>
        <s v="NRF-003-CFE-2000"/>
        <s v="CFE-J6200-03-2009"/>
        <s v="CFE-2P200-78-2011"/>
        <s v="NRF-007-CFE-2005"/>
        <s v="CFE-VM000-68-2007"/>
        <s v="CFE-V8000-06-2002"/>
        <s v="CFE-P0000-32-2008"/>
        <s v="NRF-006-CFE-2000"/>
        <s v="CFE-VM000-63-2003"/>
        <s v="CFE-V8000-52-2012"/>
        <s v="CFE-V8000-53-2012"/>
        <s v="CFE-P0000-52-2004"/>
        <s v="CFE-P0000-45-2009"/>
        <s v="NRF-005-CFE-2002*"/>
        <s v="NRF-006-CFE-2005"/>
        <s v="NRF-023-CFE-2009"/>
        <s v="CFE-P0000-46-2009"/>
        <s v="CFE-V7200-48-2008"/>
        <s v="CFE-P0000-14-2009"/>
        <s v="NRF-004-CFE-2006"/>
        <s v="CFE-VE000-38-2011"/>
        <s v="NRF-018-CFE-2004"/>
        <s v="NMX-J-158-ANCE-2002"/>
        <s v="CFE-V6600-22-1984" u="1"/>
        <m u="1"/>
        <s v="CFE-2B200-12-2012" u="1"/>
        <s v="CFE-57000-63-1995" u="1"/>
        <s v="CFE-2C900-64-2011" u="1"/>
        <s v="CFE-GCUI0-68-1995" u="1"/>
        <s v="NRF-022-CFE-2010" u="1"/>
        <s v="NRF-006-CFE-2000 " u="1"/>
        <s v="CFE-V8000-06-2013" u="1"/>
        <s v="CFE-V4100-28-1997" u="1"/>
        <s v="NMX-J-199-ANCE-0022" u="1"/>
        <s v="CFE-V4200-69-2008" u="1"/>
        <s v="CFE-2P600-43-2011" u="1"/>
        <s v="CFE-2C900-89-2011" u="1"/>
        <s v="CFE-2DI00-17-2011" u="1"/>
        <s v="CFE-2DI00-37-2001" u="1"/>
        <s v="CFE-V8000-52-1995" u="1"/>
        <s v="NRF-028-CFE-2007" u="1"/>
        <s v="CFE-2DI00-04-2011" u="1"/>
        <s v="CFE-GU600-08-1999" u="1"/>
        <s v="CFE-V6700-62-2006" u="1"/>
        <s v="CFE-2C900-63-2011" u="1"/>
        <s v="CFE-V8000-53-2008" u="1"/>
        <s v="CFE-VY200-40-2004" u="1"/>
        <s v="NRF-023CFE-2009" u="1"/>
        <s v="NMX-J-199-ANCE-2002" u="1"/>
        <s v="CFE-2C900-79-2007" u="1"/>
        <s v="CFE-5GE00-01-2011" u="1"/>
        <s v="CFE-2DI00-06-2011" u="1"/>
        <s v="CFE-V4200-12-2003" u="1"/>
        <s v="CFE-2B200-12" u="1"/>
        <s v="CFE-52000-55-1993" u="1"/>
        <s v="CFE-V6100-23-1984" u="1"/>
        <s v="CFE-2B500-30-2007" u="1"/>
        <s v="NRF-008-CFE-2000*" u="1"/>
        <s v="NRF-030-CFE-2004" u="1"/>
        <s v="CFE-56100-16-2011" u="1"/>
        <s v="CFE-V4500-09-2003" u="1"/>
        <s v="CFE-VY200-47-1993" u="1"/>
        <s v="CFE-2DI00-39-2011" u="1"/>
        <s v="CFE-VF000-34-2000" u="1"/>
        <s v="CFE K0000-13-2006" u="1"/>
        <s v="CFE-V7100-19-2010" u="1"/>
        <s v="CFE-2A100-03-2011" u="1"/>
        <s v="PLAN PILOTO" u="1"/>
        <s v="CFE K0000-07-2007" u="1"/>
        <s v="CFE-2C500-68-2007" u="1"/>
        <s v="CFE-2C900-62-2011" u="1"/>
        <s v="CFE-V8000-52-2008" u="1"/>
        <s v="CFE-2DI00-35-2006" u="1"/>
        <s v="CFE-P0000-49-2004" u="1"/>
        <s v="CFE-G0000-74-2001" u="1"/>
      </sharedItems>
    </cacheField>
    <cacheField name="SELLO" numFmtId="49">
      <sharedItems containsBlank="1" count="18">
        <s v="PE-K3000-001"/>
        <s v="ACEPTACIÓN"/>
        <s v="PROTOTIPO"/>
        <s v="ACEPTACION"/>
        <s v="PE-K3000-007" u="1"/>
        <m u="1"/>
        <s v="SIN SELLO" u="1"/>
        <s v="PE-K3000-004" u="1"/>
        <s v="PE-K3000-009" u="1"/>
        <s v="SIN ESPECIFICACIÓN" u="1"/>
        <s v="PEDIDO" u="1"/>
        <s v="PE-K3000-006" u="1"/>
        <s v="PE-K3000-003" u="1"/>
        <s v="PE-K3000-008" u="1"/>
        <s v="PLAN PILOTO" u="1"/>
        <s v="PE-K3000-005" u="1"/>
        <s v="PE-K3000-010" u="1"/>
        <s v="PE-K3000-002" u="1"/>
      </sharedItems>
    </cacheField>
    <cacheField name="EMPRESA" numFmtId="49">
      <sharedItems containsBlank="1" count="174">
        <s v="DALTOR TRANSFORMADORES SUBTERRÁNEOS Y AÉREOS"/>
        <s v="EPRECSA"/>
        <s v="ARTECHE INELAP"/>
        <s v="IG"/>
        <s v="DELTA ELECTRIC"/>
        <s v="CONTINENTAL ELECTRIC"/>
        <s v="ABB"/>
        <s v="DALTOR TRANSFORMADORES"/>
        <s v="GRUPO ELÉCTRICO ACONCAGUA"/>
        <s v="IUSA"/>
        <s v="TJ PIONEROS EN EQUIPO PARA RED SUBTERRANEA"/>
        <s v="EATON"/>
        <s v="TEIXA"/>
        <s v="PROLEC GE INTERNACIONAL"/>
        <s v="OZMAZABAL"/>
        <s v="QUASAR CONTROLS"/>
        <s v="VOLTRAN"/>
        <s v="ALSTOM"/>
        <s v="EUROGRUAS"/>
        <s v="ELECTRIC CAPITAL"/>
        <s v="MAPPEC"/>
        <s v="TRANSFORMADORES BUENDIA"/>
        <s v="COMANEL"/>
        <s v="DIVISION GOLFO NORTE"/>
        <s v="GRUPO DELTA RGP "/>
        <s v="HARZ MEXICANOS"/>
        <s v="INDUSTRIA ELECTRICA DEL CONTINENTE S.A. DE C.V."/>
        <s v="SIEMENS"/>
        <s v="SUMTEC"/>
        <s v="INJAL"/>
        <s v="INDUSTRIA ELECTRICA DEL CONTINENTE A.A. DE C.V."/>
        <s v="SCHNEIDER ELECTRIC"/>
        <s v="GRUPO A&amp;P SOLUTIONS"/>
        <s v="POLITUBOS DE MÉXICO"/>
        <s v="MULTICO"/>
        <s v="COOPER POWER SYSTEMS"/>
        <s v="CENTRIFUGADOS MEXICANOS"/>
        <s v="TORMEX S.A. DE C.V."/>
        <s v="UFARA"/>
        <s v="G&amp;W"/>
        <s v="METERING ENGINEERING"/>
        <s v="PETROFISA"/>
        <s v="EQUIPOS HIDROMECANICOS MC"/>
        <s v="TECNICA SALGAR, S.A. DE C.V."/>
        <s v="S&amp;C ELECTRIC MEXICANA"/>
        <s v="GBL INGENIEROS. S.A. DE C.V."/>
        <s v="TEREX"/>
        <s v="CRIMSA"/>
        <s v="DHAPSA"/>
        <s v="TIERRA FISICA ACA"/>
        <s v="AMETEK"/>
        <s v="HIAB SA DE CV"/>
        <s v="MULTICRETO"/>
        <s v="HUBBELL"/>
        <s v="DELTA TRANSFORMADORES"/>
        <s v="INDUSTRIAS IEM"/>
        <s v="ANTARES"/>
        <s v="QUANTUM ELECTRIC"/>
        <s v="IEEE" u="1"/>
        <s v="K-LINE" u="1"/>
        <m u="1"/>
        <s v="HERRAJES SEISA" u="1"/>
        <s v="DIVISION CENTRO OCCIDENTE" u="1"/>
        <s v="EMPRESA" u="1"/>
        <s v="FUNDIDORA ASTRA" u="1"/>
        <s v="MECANICA INDUSTRIAL Y HERRAJES" u="1"/>
        <s v="TROQUELADOS Y HERRAJES ELÉCTRICOS" u="1"/>
        <s v="TMI HERRAJES" u="1"/>
        <s v="ICECSA" u="1"/>
        <s v="CENTRO OCCIDENTE" u="1"/>
        <s v="ELEMSA" u="1"/>
        <s v="GRUPO PRECISIÓN CONTROL" u="1"/>
        <s v="MATRIX WAREHOUSES (PARADOXE CORPORATION)" u="1"/>
        <s v="SEPSA" u="1"/>
        <s v="CONSEL" u="1"/>
        <s v="THOMAS &amp; BETTS " u="1"/>
        <s v="INDUSTRIAS ELECTRICAS DE ALTA TESIÓN" u="1"/>
        <s v="BENITO URBAN" u="1"/>
        <s v="FUNDICIONES FAR" u="1"/>
        <s v="GRUPO ELÉCTRICO TOTAL" u="1"/>
        <s v="GALVAREGIA, S.A. DE C.V." u="1"/>
        <s v="PRODIN" u="1"/>
        <s v="ZIGOR MEXICO" u="1"/>
        <s v="FUNDIDORA PARA LA HIDRÁULICA" u="1"/>
        <s v="SECO LAGUNA S.A DE C.V." u="1"/>
        <s v="CONHESA" u="1"/>
        <s v="PROHELSA" u="1"/>
        <s v="ORMAZABAL" u="1"/>
        <s v="ATD" u="1"/>
        <s v="ALTEC-F" u="1"/>
        <s v="K-LINE INSULATORS LIMITED" u="1"/>
        <s v="SEL" u="1"/>
        <s v="ELECTROTECNICA Y ASOCIADOS" u="1"/>
        <s v="MAXIMA ACERO, S.A. DE C.V." u="1"/>
        <s v="ELECTRAMEX" u="1"/>
        <s v="COM FOUNDRY S. DE R.L. DE C.V." u="1"/>
        <s v="GALVANIZADORA METAL ALVI" u="1"/>
        <s v="CEAESA" u="1"/>
        <s v="TETITLAN, S.A DE C.V." u="1"/>
        <s v="TSA TRANSFORMADORES" u="1"/>
        <s v="GRUPO COMERCIAL CAFRI" u="1"/>
        <s v="VICA T&amp;D" u="1"/>
        <s v="INDUSTRIA REAL" u="1"/>
        <s v="PESCO" u="1"/>
        <s v="SENSA CONTROL DIGITAL" u="1"/>
        <s v="CONSORCIO MEXICANO ANTARES" u="1"/>
        <s v="SOLUCIONES EN HERRAJES FERROELECTRICO" u="1"/>
        <s v="RISOUL" u="1"/>
        <s v="GRUPO INDUSTRIAL KEILA" u="1"/>
        <s v="PACSA" u="1"/>
        <s v="CLAMPER" u="1"/>
        <s v="PLASTINYEC" u="1"/>
        <s v="DIVISION BAJIO" u="1"/>
        <s v="EEBC" u="1"/>
        <s v="GRUPO INDISTRIAL DE HERRAJES" u="1"/>
        <s v="FABRICANTE DE HERRAJES INDUSTRIALES" u="1"/>
        <s v="ZETRAK" u="1"/>
        <s v="GRUPO POLESA" u="1"/>
        <s v="MAXWER ALMAGOR" u="1"/>
        <s v="COELMEMGIC MÉXICO" u="1"/>
        <s v="MANUFACTURA DESARROLLO E INGENIERIA (MADEI)" u="1"/>
        <s v="CORA " u="1"/>
        <s v="SOPORTV" u="1"/>
        <s v="LB HERRAJES METAL-MECANICA S.A. DE C.V." u="1"/>
        <s v="EECORE" u="1"/>
        <s v="JACOB &amp; JACOB, S. A DE C. V." u="1"/>
        <s v="JACON &amp; JACOB, S. A DE C. V." u="1"/>
        <s v="SEPAC" u="1"/>
        <s v="TMIHERRAJES" u="1"/>
        <s v="ACOZAC" u="1"/>
        <s v="INSULMEX" u="1"/>
        <s v="SYCOMEX" u="1"/>
        <s v="PROTECSA" u="1"/>
        <s v="APP INSULATORS DE MÉXICO" u="1"/>
        <s v="BROOKS UTILITY PRODUCTS" u="1"/>
        <s v="MIPSA" u="1"/>
        <s v="MEST COMECIAL" u="1"/>
        <s v="INDUSTRIAS REAL" u="1"/>
        <s v="SMI ELECTROTECHNIQUE" u="1"/>
        <s v="ARROW HART, S.A. DE C. V." u="1"/>
        <s v="PILLAR MEXICANA, S.A. DE C.V." u="1"/>
        <s v="3M" u="1"/>
        <s v="CONDUMEX" u="1"/>
        <s v="CONDUZINC" u="1"/>
        <s v="PFIFFNER" u="1"/>
        <s v="ELECTELCO" u="1"/>
        <s v="FIJACIONES INDUSTRIALES S.A. DE C.V." u="1"/>
        <s v="PROMESA" u="1"/>
        <s v="ACCEL" u="1"/>
        <s v="FUNDIDORA TENAYUCA, S.A. de C.V." u="1"/>
        <s v="ENERVIL" u="1"/>
        <s v="SCADATEK" u="1"/>
        <s v="GRUPO CODEASA" u="1"/>
        <s v="DIRAM" u="1"/>
        <s v="HUMBRALL" u="1"/>
        <s v="ESCALON MARINO" u="1"/>
        <s v="RILEZ MEXICANA" u="1"/>
        <s v="ELECTRONICA Y TRANSFORMADORES DE MÉXICO" u="1"/>
        <s v="TRANSFORMADORES TJ" u="1"/>
        <s v="GORMAN Y ZEBADA" u="1"/>
        <s v="INGEES ELECTRIC, S.A. DE C.V." u="1"/>
        <s v="PRODUCTOS METALICOS ESPECIALIZADOS" u="1"/>
        <s v="ACEROMEX" u="1"/>
        <s v="CASA ONIS" u="1"/>
        <s v="CORDSTRAP" u="1"/>
        <s v="SMETING" u="1"/>
        <s v="HJ INTERNATIONAL INC" u="1"/>
        <s v="ALTAMEDIA&amp;SUBTERRANEA" u="1"/>
        <s v="FHISA" u="1"/>
        <s v="QUELTRO" u="1"/>
        <s v="CONECTORES Y HERRAJES ELÉCTRICOS" u="1"/>
        <s v="GORMAN Y ZEVADA" u="1"/>
        <s v="FUMETAM REYES RIVERA" u="1"/>
        <s v="CANADA POWER PRODUCTS" u="1"/>
      </sharedItems>
    </cacheField>
    <cacheField name="REMITENTE" numFmtId="49">
      <sharedItems/>
    </cacheField>
    <cacheField name="FAMILIA" numFmtId="49">
      <sharedItems containsBlank="1" count="48">
        <s v="Transformadores"/>
        <s v="Bases y/o Medidores"/>
        <s v="Tableros"/>
        <s v="Tapas y/o Registros"/>
        <s v="Seccionadores"/>
        <s v="Seccionamiento Automático"/>
        <s v="Interruptor de Potencia"/>
        <s v="Vehículo y/o Equipo Hidráulico"/>
        <s v="Apartarrayos"/>
        <s v="Cuchillas"/>
        <s v="Restauradores"/>
        <s v="Postes"/>
        <s v="Capacitores"/>
        <s v="Herrajes"/>
        <s v="CORTACIRCUITOS"/>
        <s v="Aisladores"/>
        <s v="Banco de Capacitores"/>
        <s v="CARGADORES DE BATERÍAS"/>
        <s v="GRÚA"/>
        <s v="CAPACITORES MONOFASICOS"/>
        <s v="POSTE"/>
        <s v="BANCOS DE CAPACITORES"/>
        <s v="TLABLEROS "/>
        <s v="RESTAURADOR"/>
        <s v="BANCOS CAPACITORES"/>
        <s v="REGISTRO PARA BAJA TENSIÓN"/>
        <m u="1"/>
        <s v="UTR" u="1"/>
        <s v="Eslabones Fusible" u="1"/>
        <s v="Indicador de Falla" u="1"/>
        <s v="TABLERO" u="1"/>
        <s v="Baterías y/o Cargadores" u="1"/>
        <s v="Transformadores-¡'04" u="1"/>
        <s v="Postes CONCRETO" u="1"/>
        <s v="Empalmes" u="1"/>
        <s v="Electrodo" u="1"/>
        <s v="Reguladores" u="1"/>
        <s v="Conmutadores" u="1"/>
        <s v="Cruceta de madera" u="1"/>
        <s v="Subestación Móvil" u="1"/>
        <e v="#N/A" u="1"/>
        <s v="Terminales" u="1"/>
        <s v="Boquillas" u="1"/>
        <s v="Subestaciones encapsuladas" u="1"/>
        <s v="Plan Piloto" u="1"/>
        <s v="Arreglos Híbridos" u="1"/>
        <s v="Desconectadores" u="1"/>
        <s v="Solicitud" u="1"/>
      </sharedItems>
    </cacheField>
    <cacheField name="RESPONSABLE" numFmtId="49">
      <sharedItems/>
    </cacheField>
    <cacheField name="STATUS" numFmtId="1">
      <sharedItems count="7">
        <s v="PENDIENTE"/>
        <s v="ATENDIDO"/>
        <s v="OFICIO EN FIRMA" u="1"/>
        <e v="#REF!" u="1"/>
        <s v="OFICIO MAQUINADO" u="1"/>
        <s v="CORREO ENVIADO" u="1"/>
        <s v="PLANOS EN FIRMA" u="1"/>
      </sharedItems>
    </cacheField>
    <cacheField name="OFICIO" numFmtId="0">
      <sharedItems containsBlank="1" containsMixedTypes="1" containsNumber="1" containsInteger="1" minValue="7" maxValue="1033"/>
    </cacheField>
    <cacheField name="FECHA OFICIO" numFmtId="0">
      <sharedItems containsDate="1" containsBlank="1" containsMixedTypes="1" minDate="2015-01-08T00:00:00" maxDate="2015-12-19T00:00:00"/>
    </cacheField>
    <cacheField name="FECHA ATENCION" numFmtId="0">
      <sharedItems containsNonDate="0" containsDate="1" containsString="0" containsBlank="1" minDate="2015-01-08T00:00:00" maxDate="2015-12-18T00:00:00"/>
    </cacheField>
    <cacheField name="OFICIOS ATENDIDOS" numFmtId="1">
      <sharedItems containsSemiMixedTypes="0" containsString="0" containsNumber="1" containsInteger="1" minValue="1" maxValue="5"/>
    </cacheField>
    <cacheField name="PLAN PILOTO" numFmtId="49">
      <sharedItems containsBlank="1" count="3">
        <s v="NO"/>
        <s v="SI"/>
        <m u="1"/>
      </sharedItems>
    </cacheField>
    <cacheField name="RECIBIO" numFmtId="0">
      <sharedItems containsBlank="1" containsMixedTypes="1" containsNumber="1" containsInteger="1" minValue="-39" maxValue="31"/>
    </cacheField>
    <cacheField name="TIEMPO RESPUESTA" numFmtId="1">
      <sharedItems containsSemiMixedTypes="0" containsString="0" containsNumber="1" containsInteger="1" minValue="-7" maxValue="23"/>
    </cacheField>
    <cacheField name="TOTAL DE SAO'S" numFmtId="1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1">
  <r>
    <s v="351"/>
    <x v="0"/>
    <x v="0"/>
    <x v="0"/>
    <x v="0"/>
    <s v="ING. GERARDO FERNANDO SOLÍS SALZAR"/>
    <x v="0"/>
    <s v="CVJ"/>
    <x v="0"/>
    <m/>
    <m/>
    <m/>
    <n v="1"/>
    <x v="0"/>
    <n v="0"/>
    <n v="1"/>
    <n v="1"/>
  </r>
  <r>
    <s v="0350"/>
    <x v="1"/>
    <x v="1"/>
    <x v="0"/>
    <x v="1"/>
    <s v="ING. MARCIAL SANDOVAL BECERRA"/>
    <x v="0"/>
    <s v="ICM"/>
    <x v="1"/>
    <n v="1031"/>
    <d v="2015-12-18T00:00:00"/>
    <d v="2015-12-17T00:00:00"/>
    <n v="1"/>
    <x v="0"/>
    <n v="1"/>
    <n v="1"/>
    <n v="1"/>
  </r>
  <r>
    <s v="0349"/>
    <x v="2"/>
    <x v="2"/>
    <x v="0"/>
    <x v="2"/>
    <s v="JUAN PABLO ESTRADA"/>
    <x v="1"/>
    <s v="CVJ"/>
    <x v="1"/>
    <n v="1022"/>
    <d v="2015-12-17T00:00:00"/>
    <d v="2015-12-17T00:00:00"/>
    <n v="1"/>
    <x v="0"/>
    <n v="2"/>
    <n v="1"/>
    <n v="1"/>
  </r>
  <r>
    <s v="0348"/>
    <x v="2"/>
    <x v="2"/>
    <x v="0"/>
    <x v="2"/>
    <s v="JUAN PABLO ESTRADA"/>
    <x v="1"/>
    <s v="CVJ"/>
    <x v="1"/>
    <n v="1019"/>
    <d v="2015-12-15T00:00:00"/>
    <d v="2015-12-17T00:00:00"/>
    <n v="1"/>
    <x v="0"/>
    <n v="-2"/>
    <n v="1"/>
    <n v="1"/>
  </r>
  <r>
    <s v="0347"/>
    <x v="3"/>
    <x v="3"/>
    <x v="0"/>
    <x v="3"/>
    <s v="ARTURO AGUILERA"/>
    <x v="0"/>
    <s v="ICM"/>
    <x v="1"/>
    <n v="1030"/>
    <d v="2015-12-18T00:00:00"/>
    <d v="2015-12-17T00:00:00"/>
    <n v="1"/>
    <x v="0"/>
    <n v="4"/>
    <n v="1"/>
    <n v="1"/>
  </r>
  <r>
    <s v="0346"/>
    <x v="3"/>
    <x v="4"/>
    <x v="0"/>
    <x v="3"/>
    <s v="ARTURO AGUILERA"/>
    <x v="0"/>
    <s v="ICM"/>
    <x v="0"/>
    <m/>
    <m/>
    <d v="2015-12-17T00:00:00"/>
    <n v="1"/>
    <x v="0"/>
    <n v="0"/>
    <n v="1"/>
    <n v="1"/>
  </r>
  <r>
    <s v="0345"/>
    <x v="4"/>
    <x v="5"/>
    <x v="0"/>
    <x v="4"/>
    <s v="OSCAR F. SANCHEZ SANCHEZ"/>
    <x v="0"/>
    <s v="ICM"/>
    <x v="0"/>
    <m/>
    <m/>
    <d v="2015-12-11T00:00:00"/>
    <n v="1"/>
    <x v="0"/>
    <s v="=IF(RC[-4]=0,0,(NETWORKDAYS(RC[-13],RC[-4])))"/>
    <n v="2"/>
    <n v="1"/>
  </r>
  <r>
    <s v="0344"/>
    <x v="4"/>
    <x v="6"/>
    <x v="0"/>
    <x v="5"/>
    <s v="ING. REYNALDO PANIAGUA SALINAS"/>
    <x v="0"/>
    <s v="CVJ"/>
    <x v="1"/>
    <n v="1021"/>
    <d v="2015-12-15T00:00:00"/>
    <d v="2015-12-11T00:00:00"/>
    <n v="1"/>
    <x v="0"/>
    <n v="4"/>
    <n v="2"/>
    <n v="1"/>
  </r>
  <r>
    <s v="0343"/>
    <x v="5"/>
    <x v="7"/>
    <x v="0"/>
    <x v="6"/>
    <s v="ING. DANIEL PÉREZ CASTAÑEDA"/>
    <x v="2"/>
    <s v="CVJ"/>
    <x v="1"/>
    <n v="1018"/>
    <d v="2015-12-10T00:00:00"/>
    <d v="2015-12-11T00:00:00"/>
    <n v="1"/>
    <x v="0"/>
    <n v="2"/>
    <n v="3"/>
    <n v="1"/>
  </r>
  <r>
    <s v="0342"/>
    <x v="6"/>
    <x v="6"/>
    <x v="0"/>
    <x v="7"/>
    <s v="ING. GERARDO FERNADO SOLIS"/>
    <x v="0"/>
    <s v="CVJ"/>
    <x v="0"/>
    <m/>
    <m/>
    <d v="2015-12-08T00:00:00"/>
    <n v="1"/>
    <x v="0"/>
    <n v="0"/>
    <n v="1"/>
    <n v="1"/>
  </r>
  <r>
    <s v="0341"/>
    <x v="7"/>
    <x v="8"/>
    <x v="0"/>
    <x v="8"/>
    <s v="ING. ALEXIS M. MATA ORTIZ"/>
    <x v="3"/>
    <s v="CVJ"/>
    <x v="1"/>
    <n v="1012"/>
    <d v="2015-12-10T00:00:00"/>
    <d v="2015-12-11T00:00:00"/>
    <n v="1"/>
    <x v="0"/>
    <n v="6"/>
    <n v="7"/>
    <n v="1"/>
  </r>
  <r>
    <s v="0340"/>
    <x v="7"/>
    <x v="5"/>
    <x v="0"/>
    <x v="9"/>
    <s v="M. EN C. UBALDO MENDOZA MEJÍA"/>
    <x v="0"/>
    <s v="CVJ"/>
    <x v="1"/>
    <s v="BAJA"/>
    <d v="2015-12-15T00:00:00"/>
    <d v="2015-12-15T00:00:00"/>
    <n v="1"/>
    <x v="0"/>
    <n v="9"/>
    <n v="9"/>
    <n v="1"/>
  </r>
  <r>
    <s v="0339"/>
    <x v="8"/>
    <x v="5"/>
    <x v="0"/>
    <x v="3"/>
    <s v="ING. ARTURO AGUILERA ALVARADO"/>
    <x v="0"/>
    <s v="ICM"/>
    <x v="1"/>
    <n v="1032"/>
    <d v="2015-12-17T00:00:00"/>
    <d v="2015-12-08T00:00:00"/>
    <n v="1"/>
    <x v="0"/>
    <n v="12"/>
    <n v="5"/>
    <n v="1"/>
  </r>
  <r>
    <s v="0338"/>
    <x v="8"/>
    <x v="5"/>
    <x v="0"/>
    <x v="3"/>
    <s v="ING. ARTURO AGUILERA ALVARADO"/>
    <x v="0"/>
    <s v="ICM"/>
    <x v="1"/>
    <n v="1032"/>
    <d v="2015-12-17T00:00:00"/>
    <d v="2015-12-08T00:00:00"/>
    <n v="1"/>
    <x v="0"/>
    <n v="12"/>
    <n v="5"/>
    <n v="1"/>
  </r>
  <r>
    <s v="0337"/>
    <x v="8"/>
    <x v="5"/>
    <x v="0"/>
    <x v="3"/>
    <s v="ING. ARTURO AGUILERA ALVARADO"/>
    <x v="0"/>
    <s v="ICM"/>
    <x v="1"/>
    <n v="1033"/>
    <d v="2015-12-18T00:00:00"/>
    <d v="2015-12-08T00:00:00"/>
    <n v="1"/>
    <x v="0"/>
    <n v="13"/>
    <n v="5"/>
    <n v="1"/>
  </r>
  <r>
    <s v="0336"/>
    <x v="8"/>
    <x v="5"/>
    <x v="0"/>
    <x v="3"/>
    <s v="ING. ARTURO AGUILERA ALVARADO"/>
    <x v="0"/>
    <s v="ICM"/>
    <x v="1"/>
    <n v="1033"/>
    <d v="2015-12-18T00:00:00"/>
    <d v="2015-12-08T00:00:00"/>
    <n v="1"/>
    <x v="0"/>
    <n v="13"/>
    <n v="5"/>
    <n v="1"/>
  </r>
  <r>
    <s v="0335"/>
    <x v="8"/>
    <x v="5"/>
    <x v="0"/>
    <x v="3"/>
    <s v="ING. ARTURO AGUILERA ALVARADO"/>
    <x v="0"/>
    <s v="ICM"/>
    <x v="1"/>
    <n v="1033"/>
    <d v="2015-12-18T00:00:00"/>
    <d v="2015-12-08T00:00:00"/>
    <n v="1"/>
    <x v="0"/>
    <n v="13"/>
    <n v="5"/>
    <n v="1"/>
  </r>
  <r>
    <s v="0334"/>
    <x v="8"/>
    <x v="5"/>
    <x v="0"/>
    <x v="3"/>
    <s v="ING. ARTURO AGUILERA ALVARADO"/>
    <x v="0"/>
    <s v="ICM"/>
    <x v="1"/>
    <n v="1033"/>
    <d v="2015-12-18T00:00:00"/>
    <d v="2015-12-08T00:00:00"/>
    <n v="1"/>
    <x v="0"/>
    <n v="13"/>
    <n v="5"/>
    <n v="1"/>
  </r>
  <r>
    <s v="0333"/>
    <x v="9"/>
    <x v="4"/>
    <x v="0"/>
    <x v="10"/>
    <s v="ING. JUAN JOSÉ CHÁVEZ PÉREZ"/>
    <x v="0"/>
    <s v="CVJ"/>
    <x v="0"/>
    <m/>
    <m/>
    <d v="2015-12-07T00:00:00"/>
    <n v="1"/>
    <x v="0"/>
    <n v="0"/>
    <n v="5"/>
    <n v="1"/>
  </r>
  <r>
    <s v="0332"/>
    <x v="9"/>
    <x v="6"/>
    <x v="0"/>
    <x v="11"/>
    <s v="ING. DANIEL PINTO DAVALOS"/>
    <x v="0"/>
    <s v="GGV"/>
    <x v="1"/>
    <n v="1027"/>
    <d v="2015-12-15T00:00:00"/>
    <d v="2015-12-08T00:00:00"/>
    <n v="1"/>
    <x v="0"/>
    <n v="11"/>
    <n v="6"/>
    <n v="1"/>
  </r>
  <r>
    <s v="0331"/>
    <x v="9"/>
    <x v="5"/>
    <x v="0"/>
    <x v="11"/>
    <s v="ING. DANIEL PINTO DAVALOS"/>
    <x v="0"/>
    <s v="GGV"/>
    <x v="1"/>
    <n v="1020"/>
    <d v="2015-12-15T00:00:00"/>
    <d v="2015-12-08T00:00:00"/>
    <n v="1"/>
    <x v="0"/>
    <n v="11"/>
    <n v="6"/>
    <n v="1"/>
  </r>
  <r>
    <s v="0330"/>
    <x v="9"/>
    <x v="5"/>
    <x v="0"/>
    <x v="5"/>
    <s v="ING. REYNALDO PANIAGUA SALINAS"/>
    <x v="0"/>
    <s v="CVJ"/>
    <x v="1"/>
    <n v="1011"/>
    <d v="2015-12-08T00:00:00"/>
    <d v="2015-12-08T00:00:00"/>
    <n v="1"/>
    <x v="0"/>
    <n v="6"/>
    <n v="6"/>
    <n v="1"/>
  </r>
  <r>
    <s v="0329"/>
    <x v="9"/>
    <x v="4"/>
    <x v="0"/>
    <x v="5"/>
    <s v="ING. REYNALDO PANIAGUA SALINAS"/>
    <x v="0"/>
    <s v="CVJ"/>
    <x v="1"/>
    <n v="1014"/>
    <d v="2015-10-08T00:00:00"/>
    <d v="2015-12-08T00:00:00"/>
    <n v="1"/>
    <x v="0"/>
    <n v="-39"/>
    <n v="6"/>
    <n v="1"/>
  </r>
  <r>
    <s v="0328"/>
    <x v="9"/>
    <x v="3"/>
    <x v="0"/>
    <x v="11"/>
    <s v="ING. DANIEL PINTO DAVALOS"/>
    <x v="0"/>
    <s v="GGV"/>
    <x v="1"/>
    <n v="1025"/>
    <d v="2015-12-14T00:00:00"/>
    <d v="2015-12-08T00:00:00"/>
    <n v="1"/>
    <x v="0"/>
    <n v="10"/>
    <n v="6"/>
    <n v="1"/>
  </r>
  <r>
    <s v="0327"/>
    <x v="9"/>
    <x v="4"/>
    <x v="0"/>
    <x v="11"/>
    <s v="ING. DANIEL PINTO DAVALOS"/>
    <x v="0"/>
    <s v="GGV"/>
    <x v="1"/>
    <n v="1026"/>
    <d v="2015-12-14T00:00:00"/>
    <d v="2015-12-08T00:00:00"/>
    <n v="1"/>
    <x v="0"/>
    <n v="10"/>
    <n v="6"/>
    <n v="1"/>
  </r>
  <r>
    <s v="0326"/>
    <x v="10"/>
    <x v="4"/>
    <x v="0"/>
    <x v="12"/>
    <s v="ING. PAULO CÉSAR TORRES PÉREZ"/>
    <x v="0"/>
    <s v="GGV"/>
    <x v="1"/>
    <n v="1013"/>
    <d v="2015-12-10T00:00:00"/>
    <d v="2015-12-02T00:00:00"/>
    <n v="1"/>
    <x v="0"/>
    <n v="11"/>
    <n v="5"/>
    <n v="1"/>
  </r>
  <r>
    <s v="0325"/>
    <x v="11"/>
    <x v="9"/>
    <x v="0"/>
    <x v="13"/>
    <s v="ING. LUIS EDUARDO DE FLON VELÁZQUEZ"/>
    <x v="0"/>
    <s v="CVJ"/>
    <x v="1"/>
    <s v="BAJA"/>
    <d v="2015-12-18T00:00:00"/>
    <d v="2015-12-16T00:00:00"/>
    <n v="1"/>
    <x v="0"/>
    <n v="18"/>
    <n v="16"/>
    <n v="1"/>
  </r>
  <r>
    <s v="0324"/>
    <x v="12"/>
    <x v="8"/>
    <x v="0"/>
    <x v="8"/>
    <s v="ING. ALEXIS M. MATA ORTIZ"/>
    <x v="3"/>
    <s v="CVJ"/>
    <x v="1"/>
    <n v="1012"/>
    <d v="2015-12-10T00:00:00"/>
    <d v="2015-11-23T00:00:00"/>
    <n v="1"/>
    <x v="0"/>
    <n v="14"/>
    <n v="1"/>
    <n v="1"/>
  </r>
  <r>
    <s v="0323"/>
    <x v="13"/>
    <x v="10"/>
    <x v="0"/>
    <x v="14"/>
    <s v="PIERO COMEL B. "/>
    <x v="4"/>
    <s v="CVJ"/>
    <x v="0"/>
    <m/>
    <m/>
    <d v="2015-11-09T00:00:00"/>
    <n v="1"/>
    <x v="0"/>
    <n v="0"/>
    <n v="-7"/>
    <n v="1"/>
  </r>
  <r>
    <s v="0322"/>
    <x v="13"/>
    <x v="6"/>
    <x v="0"/>
    <x v="11"/>
    <s v="DANIEL PINTO DAVALOS"/>
    <x v="0"/>
    <s v="GGV"/>
    <x v="1"/>
    <n v="969"/>
    <d v="2015-11-23T00:00:00"/>
    <d v="2015-11-23T00:00:00"/>
    <n v="1"/>
    <x v="0"/>
    <n v="5"/>
    <n v="5"/>
    <n v="1"/>
  </r>
  <r>
    <s v="0321"/>
    <x v="13"/>
    <x v="5"/>
    <x v="0"/>
    <x v="11"/>
    <s v="DANIEL PINTO DAVALOS"/>
    <x v="0"/>
    <s v="GGV"/>
    <x v="1"/>
    <n v="984"/>
    <d v="2015-11-25T00:00:00"/>
    <d v="2015-11-25T00:00:00"/>
    <n v="1"/>
    <x v="0"/>
    <n v="7"/>
    <n v="7"/>
    <n v="1"/>
  </r>
  <r>
    <s v="0320"/>
    <x v="14"/>
    <x v="11"/>
    <x v="0"/>
    <x v="15"/>
    <s v="MC ANA GABRIELA GARDEA GONZALEZ"/>
    <x v="5"/>
    <s v="CVJ"/>
    <x v="1"/>
    <n v="983"/>
    <d v="2015-11-23T00:00:00"/>
    <d v="2015-11-23T00:00:00"/>
    <n v="1"/>
    <x v="0"/>
    <n v="8"/>
    <n v="8"/>
    <n v="1"/>
  </r>
  <r>
    <s v="0319"/>
    <x v="15"/>
    <x v="6"/>
    <x v="0"/>
    <x v="11"/>
    <s v="ING. DANIEL PINTO DAVALOS"/>
    <x v="0"/>
    <s v="GGV"/>
    <x v="0"/>
    <m/>
    <m/>
    <d v="2015-11-18T00:00:00"/>
    <n v="1"/>
    <x v="0"/>
    <n v="0"/>
    <n v="6"/>
    <n v="1"/>
  </r>
  <r>
    <s v="0318"/>
    <x v="15"/>
    <x v="3"/>
    <x v="0"/>
    <x v="11"/>
    <s v="ING. DANIEL PINTO DAVALOS"/>
    <x v="0"/>
    <s v="GGV"/>
    <x v="1"/>
    <n v="968"/>
    <d v="2015-11-23T00:00:00"/>
    <d v="2015-11-19T00:00:00"/>
    <n v="1"/>
    <x v="0"/>
    <n v="9"/>
    <n v="7"/>
    <n v="1"/>
  </r>
  <r>
    <s v="0317"/>
    <x v="15"/>
    <x v="3"/>
    <x v="0"/>
    <x v="11"/>
    <s v="ING. DANIEL PINTO DAVALOS"/>
    <x v="0"/>
    <s v="GGV"/>
    <x v="1"/>
    <n v="971"/>
    <d v="2015-11-23T00:00:00"/>
    <d v="2015-11-19T00:00:00"/>
    <n v="1"/>
    <x v="0"/>
    <n v="9"/>
    <n v="7"/>
    <n v="1"/>
  </r>
  <r>
    <s v="0316"/>
    <x v="15"/>
    <x v="3"/>
    <x v="0"/>
    <x v="11"/>
    <s v="ING. DANIEL PINTO DAVALOS"/>
    <x v="0"/>
    <s v="GGV"/>
    <x v="1"/>
    <n v="970"/>
    <d v="2015-11-23T00:00:00"/>
    <d v="2015-11-19T00:00:00"/>
    <n v="1"/>
    <x v="0"/>
    <n v="9"/>
    <n v="7"/>
    <n v="1"/>
  </r>
  <r>
    <s v="0315"/>
    <x v="15"/>
    <x v="9"/>
    <x v="0"/>
    <x v="16"/>
    <s v="ING. ALFREDO DIONICIO BARRON"/>
    <x v="0"/>
    <s v="CVJ"/>
    <x v="1"/>
    <n v="972"/>
    <d v="2015-11-20T00:00:00"/>
    <d v="2015-11-23T00:00:00"/>
    <n v="1"/>
    <x v="0"/>
    <n v="8"/>
    <n v="9"/>
    <n v="1"/>
  </r>
  <r>
    <s v="0314"/>
    <x v="15"/>
    <x v="12"/>
    <x v="0"/>
    <x v="17"/>
    <s v="ING. HIGINIO GARCIA GARCIA"/>
    <x v="6"/>
    <s v="ICM"/>
    <x v="1"/>
    <s v="BAJA"/>
    <d v="2015-12-08T00:00:00"/>
    <d v="2015-11-19T00:00:00"/>
    <n v="1"/>
    <x v="0"/>
    <n v="20"/>
    <n v="7"/>
    <n v="1"/>
  </r>
  <r>
    <s v="0313"/>
    <x v="16"/>
    <x v="3"/>
    <x v="0"/>
    <x v="3"/>
    <s v="ING. ARTURO AGUILERA ALVARADO"/>
    <x v="0"/>
    <s v="ICM"/>
    <x v="1"/>
    <n v="974"/>
    <d v="2015-11-24T00:00:00"/>
    <d v="2015-11-23T00:00:00"/>
    <n v="1"/>
    <x v="0"/>
    <n v="11"/>
    <n v="10"/>
    <n v="1"/>
  </r>
  <r>
    <s v="0312"/>
    <x v="16"/>
    <x v="3"/>
    <x v="0"/>
    <x v="3"/>
    <s v="ING. ARTURO AGUILERA ALVARADO"/>
    <x v="0"/>
    <s v="ICM"/>
    <x v="1"/>
    <n v="974"/>
    <d v="2015-11-24T00:00:00"/>
    <d v="2015-11-23T00:00:00"/>
    <n v="1"/>
    <x v="0"/>
    <n v="11"/>
    <n v="10"/>
    <n v="1"/>
  </r>
  <r>
    <s v="0311"/>
    <x v="16"/>
    <x v="3"/>
    <x v="0"/>
    <x v="3"/>
    <s v="ING. ARTURO AGUILERA ALVARADO"/>
    <x v="0"/>
    <s v="ICM"/>
    <x v="1"/>
    <n v="973"/>
    <d v="2015-11-24T00:00:00"/>
    <d v="2015-11-23T00:00:00"/>
    <n v="1"/>
    <x v="0"/>
    <n v="11"/>
    <n v="10"/>
    <n v="1"/>
  </r>
  <r>
    <s v="0310"/>
    <x v="16"/>
    <x v="3"/>
    <x v="0"/>
    <x v="3"/>
    <s v="ING. ARTURO AGUILERA ALVARADO"/>
    <x v="0"/>
    <s v="ICM"/>
    <x v="1"/>
    <n v="974"/>
    <d v="2015-11-24T00:00:00"/>
    <d v="2015-11-23T00:00:00"/>
    <n v="1"/>
    <x v="0"/>
    <n v="11"/>
    <n v="10"/>
    <n v="1"/>
  </r>
  <r>
    <s v="0309"/>
    <x v="16"/>
    <x v="3"/>
    <x v="0"/>
    <x v="3"/>
    <s v="ING. ARTURO AGUILERA ALVARADO"/>
    <x v="0"/>
    <s v="ICM"/>
    <x v="1"/>
    <n v="973"/>
    <d v="2015-11-24T00:00:00"/>
    <d v="2015-11-23T00:00:00"/>
    <n v="1"/>
    <x v="0"/>
    <n v="11"/>
    <n v="10"/>
    <n v="1"/>
  </r>
  <r>
    <s v="0308"/>
    <x v="16"/>
    <x v="3"/>
    <x v="0"/>
    <x v="3"/>
    <s v="ING. ARTURO AGUILERA ALVARADO"/>
    <x v="0"/>
    <s v="ICM"/>
    <x v="1"/>
    <n v="973"/>
    <d v="2015-11-24T00:00:00"/>
    <d v="2015-11-23T00:00:00"/>
    <n v="1"/>
    <x v="0"/>
    <n v="11"/>
    <n v="10"/>
    <n v="1"/>
  </r>
  <r>
    <s v="0307"/>
    <x v="16"/>
    <x v="3"/>
    <x v="0"/>
    <x v="3"/>
    <s v="ING. ARTURO AGUILERA ALVARADO"/>
    <x v="0"/>
    <s v="ICM"/>
    <x v="1"/>
    <n v="973"/>
    <d v="2015-11-24T00:00:00"/>
    <d v="2015-11-23T00:00:00"/>
    <n v="1"/>
    <x v="0"/>
    <n v="11"/>
    <n v="10"/>
    <n v="1"/>
  </r>
  <r>
    <s v="0306"/>
    <x v="17"/>
    <x v="13"/>
    <x v="0"/>
    <x v="18"/>
    <s v="ING. JESUS LARES HERNANDEZ"/>
    <x v="7"/>
    <s v="ICM"/>
    <x v="1"/>
    <s v="BAJA"/>
    <d v="2015-12-08T00:00:00"/>
    <d v="2015-11-20T00:00:00"/>
    <n v="1"/>
    <x v="0"/>
    <n v="23"/>
    <n v="11"/>
    <n v="1"/>
  </r>
  <r>
    <s v="0305"/>
    <x v="18"/>
    <x v="3"/>
    <x v="0"/>
    <x v="19"/>
    <s v="ING. ALFONSO MONTES GALLEGOS"/>
    <x v="0"/>
    <s v="GGV"/>
    <x v="1"/>
    <n v="947"/>
    <d v="2015-11-13T00:00:00"/>
    <d v="2015-11-13T00:00:00"/>
    <n v="1"/>
    <x v="0"/>
    <n v="7"/>
    <n v="7"/>
    <n v="1"/>
  </r>
  <r>
    <s v="0304"/>
    <x v="18"/>
    <x v="5"/>
    <x v="0"/>
    <x v="19"/>
    <s v="ING. ALFONSO MONTES GALLEGOS"/>
    <x v="0"/>
    <s v="GGV"/>
    <x v="1"/>
    <n v="946"/>
    <d v="2015-11-13T00:00:00"/>
    <d v="2015-11-13T00:00:00"/>
    <n v="1"/>
    <x v="0"/>
    <n v="7"/>
    <n v="7"/>
    <n v="1"/>
  </r>
  <r>
    <s v="0303"/>
    <x v="18"/>
    <x v="9"/>
    <x v="0"/>
    <x v="16"/>
    <s v="ING. ÁNGEL MARIO VÁZQUEZ QUILES"/>
    <x v="0"/>
    <s v="CVJ"/>
    <x v="1"/>
    <n v="972"/>
    <d v="2015-11-20T00:00:00"/>
    <d v="2015-11-06T00:00:00"/>
    <n v="1"/>
    <x v="0"/>
    <n v="12"/>
    <n v="2"/>
    <n v="1"/>
  </r>
  <r>
    <s v="0302"/>
    <x v="19"/>
    <x v="3"/>
    <x v="0"/>
    <x v="3"/>
    <s v="ING. ARTURO AGUILERA ALVARADO"/>
    <x v="0"/>
    <s v="ICM"/>
    <x v="1"/>
    <n v="956"/>
    <d v="2015-11-24T00:00:00"/>
    <d v="2015-11-04T00:00:00"/>
    <n v="1"/>
    <x v="0"/>
    <n v="18"/>
    <n v="4"/>
    <n v="1"/>
  </r>
  <r>
    <s v="0301"/>
    <x v="19"/>
    <x v="3"/>
    <x v="0"/>
    <x v="3"/>
    <s v="ING. ARTURO AGUILERA ALVARADO"/>
    <x v="0"/>
    <s v="ICM"/>
    <x v="1"/>
    <n v="956"/>
    <d v="2015-11-24T00:00:00"/>
    <d v="2015-11-04T00:00:00"/>
    <n v="1"/>
    <x v="0"/>
    <n v="18"/>
    <n v="4"/>
    <n v="1"/>
  </r>
  <r>
    <s v="0300"/>
    <x v="19"/>
    <x v="3"/>
    <x v="0"/>
    <x v="3"/>
    <s v="ING. ARTURO AGUILERA ALVARADO"/>
    <x v="0"/>
    <s v="ICM"/>
    <x v="1"/>
    <n v="956"/>
    <d v="2015-11-24T00:00:00"/>
    <d v="2015-11-04T00:00:00"/>
    <n v="1"/>
    <x v="0"/>
    <n v="18"/>
    <n v="4"/>
    <n v="1"/>
  </r>
  <r>
    <s v="0299"/>
    <x v="19"/>
    <x v="3"/>
    <x v="0"/>
    <x v="3"/>
    <s v="ING. ARTURO AGUILERA ALVARADO"/>
    <x v="0"/>
    <s v="ICM"/>
    <x v="1"/>
    <n v="956"/>
    <d v="2015-11-24T00:00:00"/>
    <d v="2015-11-04T00:00:00"/>
    <n v="1"/>
    <x v="0"/>
    <n v="18"/>
    <n v="4"/>
    <n v="1"/>
  </r>
  <r>
    <s v="0298"/>
    <x v="19"/>
    <x v="3"/>
    <x v="0"/>
    <x v="3"/>
    <s v="ING. ARTURO AGUILERA ALVARADO"/>
    <x v="0"/>
    <s v="ICM"/>
    <x v="1"/>
    <n v="956"/>
    <d v="2015-11-24T00:00:00"/>
    <d v="2015-11-04T00:00:00"/>
    <n v="1"/>
    <x v="0"/>
    <n v="18"/>
    <n v="4"/>
    <n v="1"/>
  </r>
  <r>
    <s v="0297"/>
    <x v="19"/>
    <x v="3"/>
    <x v="0"/>
    <x v="3"/>
    <s v="ING. ARTURO AGUILERA ALVARADO"/>
    <x v="0"/>
    <s v="ICM"/>
    <x v="1"/>
    <n v="957"/>
    <d v="2015-11-24T00:00:00"/>
    <d v="2015-11-04T00:00:00"/>
    <n v="1"/>
    <x v="0"/>
    <n v="18"/>
    <n v="4"/>
    <n v="1"/>
  </r>
  <r>
    <s v="0296"/>
    <x v="19"/>
    <x v="3"/>
    <x v="0"/>
    <x v="3"/>
    <s v="ING. ARTURO AGUILERA ALVARADO"/>
    <x v="0"/>
    <s v="ICM"/>
    <x v="1"/>
    <n v="957"/>
    <d v="2015-11-24T00:00:00"/>
    <d v="2015-11-04T00:00:00"/>
    <n v="1"/>
    <x v="0"/>
    <n v="18"/>
    <n v="4"/>
    <n v="1"/>
  </r>
  <r>
    <s v="0295"/>
    <x v="19"/>
    <x v="3"/>
    <x v="0"/>
    <x v="3"/>
    <s v="ING. ARTURO AGUILERA ALVARADO"/>
    <x v="0"/>
    <s v="ICM"/>
    <x v="1"/>
    <n v="958"/>
    <d v="2015-11-24T00:00:00"/>
    <d v="2015-11-04T00:00:00"/>
    <n v="1"/>
    <x v="0"/>
    <n v="18"/>
    <n v="4"/>
    <n v="1"/>
  </r>
  <r>
    <s v="0294"/>
    <x v="19"/>
    <x v="3"/>
    <x v="0"/>
    <x v="3"/>
    <s v="ING. ARTURO AGUILERA ALVARADO"/>
    <x v="0"/>
    <s v="ICM"/>
    <x v="1"/>
    <n v="958"/>
    <d v="2015-11-24T00:00:00"/>
    <d v="2015-11-04T00:00:00"/>
    <n v="1"/>
    <x v="0"/>
    <n v="18"/>
    <n v="4"/>
    <n v="1"/>
  </r>
  <r>
    <s v="0293"/>
    <x v="19"/>
    <x v="3"/>
    <x v="0"/>
    <x v="3"/>
    <s v="ING. ARTURO AGUILERA ALVARADO"/>
    <x v="0"/>
    <s v="ICM"/>
    <x v="1"/>
    <n v="958"/>
    <d v="2015-11-24T00:00:00"/>
    <d v="2015-11-04T00:00:00"/>
    <n v="1"/>
    <x v="0"/>
    <n v="18"/>
    <n v="4"/>
    <n v="1"/>
  </r>
  <r>
    <s v="0292"/>
    <x v="19"/>
    <x v="3"/>
    <x v="0"/>
    <x v="3"/>
    <s v="ING. ARTURO AGUILERA ALVARADO"/>
    <x v="0"/>
    <s v="ICM"/>
    <x v="1"/>
    <n v="958"/>
    <d v="2015-11-24T00:00:00"/>
    <d v="2015-11-04T00:00:00"/>
    <n v="1"/>
    <x v="0"/>
    <n v="18"/>
    <n v="4"/>
    <n v="1"/>
  </r>
  <r>
    <s v="0291"/>
    <x v="19"/>
    <x v="3"/>
    <x v="0"/>
    <x v="3"/>
    <s v="ING. ARTURO AGUILERA ALVARADO"/>
    <x v="0"/>
    <s v="ICM"/>
    <x v="1"/>
    <n v="958"/>
    <d v="2015-11-24T00:00:00"/>
    <d v="2015-11-04T00:00:00"/>
    <n v="1"/>
    <x v="0"/>
    <n v="18"/>
    <n v="4"/>
    <n v="1"/>
  </r>
  <r>
    <s v="0290"/>
    <x v="19"/>
    <x v="3"/>
    <x v="0"/>
    <x v="3"/>
    <s v="ING. ARTURO AGUILERA ALVARADO"/>
    <x v="0"/>
    <s v="ICM"/>
    <x v="1"/>
    <n v="955"/>
    <d v="2015-11-24T00:00:00"/>
    <d v="2015-11-04T00:00:00"/>
    <n v="1"/>
    <x v="0"/>
    <n v="18"/>
    <n v="4"/>
    <n v="1"/>
  </r>
  <r>
    <s v="0289"/>
    <x v="19"/>
    <x v="3"/>
    <x v="0"/>
    <x v="3"/>
    <s v="ING. ARTURO AGUILERA ALVARADO"/>
    <x v="0"/>
    <s v="ICM"/>
    <x v="1"/>
    <n v="955"/>
    <d v="2015-11-24T00:00:00"/>
    <d v="2015-11-04T00:00:00"/>
    <n v="1"/>
    <x v="0"/>
    <n v="18"/>
    <n v="4"/>
    <n v="1"/>
  </r>
  <r>
    <s v="0288"/>
    <x v="19"/>
    <x v="3"/>
    <x v="0"/>
    <x v="3"/>
    <s v="ING. ARTURO AGUILERA ALVARADO"/>
    <x v="0"/>
    <s v="ICM"/>
    <x v="0"/>
    <m/>
    <s v="DN_Repetido"/>
    <d v="2015-11-04T00:00:00"/>
    <n v="1"/>
    <x v="0"/>
    <e v="#VALUE!"/>
    <n v="4"/>
    <n v="1"/>
  </r>
  <r>
    <s v="0288"/>
    <x v="20"/>
    <x v="1"/>
    <x v="0"/>
    <x v="1"/>
    <s v="ING. MARCIAL SANDOVAL BECERRA"/>
    <x v="0"/>
    <s v="ICM"/>
    <x v="1"/>
    <s v="Baja (pendiente)"/>
    <m/>
    <d v="2015-10-30T00:00:00"/>
    <n v="1"/>
    <x v="0"/>
    <n v="0"/>
    <n v="2"/>
    <n v="1"/>
  </r>
  <r>
    <s v="0287"/>
    <x v="20"/>
    <x v="4"/>
    <x v="0"/>
    <x v="12"/>
    <s v="ING. CLAUDIO TORRES NAVA"/>
    <x v="0"/>
    <s v="GGV"/>
    <x v="1"/>
    <n v="953"/>
    <d v="2015-11-24T00:00:00"/>
    <d v="2015-11-04T00:00:00"/>
    <n v="1"/>
    <x v="0"/>
    <n v="19"/>
    <n v="5"/>
    <n v="1"/>
  </r>
  <r>
    <s v="0286"/>
    <x v="20"/>
    <x v="5"/>
    <x v="0"/>
    <x v="12"/>
    <s v="ING. CLAUDIO TORRES NAVA"/>
    <x v="0"/>
    <s v="GGV"/>
    <x v="1"/>
    <n v="952"/>
    <d v="2015-11-13T00:00:00"/>
    <d v="2015-11-04T00:00:00"/>
    <n v="1"/>
    <x v="0"/>
    <n v="12"/>
    <n v="5"/>
    <n v="1"/>
  </r>
  <r>
    <s v="0285"/>
    <x v="21"/>
    <x v="14"/>
    <x v="0"/>
    <x v="20"/>
    <s v="ING. CLAUDIO TORRES NAVA"/>
    <x v="8"/>
    <s v="ICM"/>
    <x v="1"/>
    <n v="917"/>
    <d v="2015-10-29T00:00:00"/>
    <d v="2015-10-26T00:00:00"/>
    <n v="1"/>
    <x v="0"/>
    <n v="5"/>
    <n v="2"/>
    <n v="1"/>
  </r>
  <r>
    <s v="0284"/>
    <x v="22"/>
    <x v="15"/>
    <x v="0"/>
    <x v="21"/>
    <s v="ING. SALVADOR RAMIREZ LOZANO"/>
    <x v="0"/>
    <s v="CVJ"/>
    <x v="1"/>
    <n v="929"/>
    <d v="2015-11-10T00:00:00"/>
    <d v="2015-10-27T00:00:00"/>
    <n v="1"/>
    <x v="0"/>
    <n v="14"/>
    <n v="4"/>
    <n v="1"/>
  </r>
  <r>
    <s v="0283"/>
    <x v="23"/>
    <x v="10"/>
    <x v="0"/>
    <x v="22"/>
    <s v="MARCO ANTONIO FUENTES"/>
    <x v="4"/>
    <s v="CVJ"/>
    <x v="1"/>
    <n v="903"/>
    <d v="2015-10-23T00:00:00"/>
    <d v="2015-10-23T00:00:00"/>
    <n v="1"/>
    <x v="0"/>
    <n v="3"/>
    <n v="3"/>
    <n v="1"/>
  </r>
  <r>
    <s v="0282"/>
    <x v="24"/>
    <x v="16"/>
    <x v="0"/>
    <x v="23"/>
    <s v="ING. IRAZU I. RODRÍGUEZ GARZA"/>
    <x v="1"/>
    <s v="CVJ"/>
    <x v="1"/>
    <n v="901"/>
    <d v="2015-10-26T00:00:00"/>
    <d v="2015-10-26T00:00:00"/>
    <n v="1"/>
    <x v="0"/>
    <n v="5"/>
    <n v="5"/>
    <n v="1"/>
  </r>
  <r>
    <s v="0281"/>
    <x v="25"/>
    <x v="17"/>
    <x v="0"/>
    <x v="24"/>
    <s v="ING. OSCAR PALACIOS TORRES"/>
    <x v="9"/>
    <s v="ICM"/>
    <x v="1"/>
    <n v="928"/>
    <d v="2015-11-10T00:00:00"/>
    <d v="2015-10-27T00:00:00"/>
    <n v="1"/>
    <x v="0"/>
    <n v="18"/>
    <n v="8"/>
    <n v="1"/>
  </r>
  <r>
    <s v="0280"/>
    <x v="25"/>
    <x v="8"/>
    <x v="0"/>
    <x v="25"/>
    <s v="ING. ALEXANDER AYALA HERNÁNDEZ"/>
    <x v="3"/>
    <s v="CVJ"/>
    <x v="1"/>
    <n v="934"/>
    <d v="2015-11-06T00:00:00"/>
    <d v="2015-11-02T00:00:00"/>
    <n v="1"/>
    <x v="0"/>
    <n v="16"/>
    <n v="12"/>
    <n v="1"/>
  </r>
  <r>
    <s v="0279"/>
    <x v="26"/>
    <x v="5"/>
    <x v="0"/>
    <x v="4"/>
    <s v="ING. NANCY RAMÍREZ"/>
    <x v="0"/>
    <s v="ICM"/>
    <x v="1"/>
    <n v="937"/>
    <d v="2015-11-06T00:00:00"/>
    <d v="2015-10-16T00:00:00"/>
    <n v="1"/>
    <x v="0"/>
    <n v="18"/>
    <n v="3"/>
    <n v="1"/>
  </r>
  <r>
    <s v="0278"/>
    <x v="26"/>
    <x v="3"/>
    <x v="0"/>
    <x v="19"/>
    <s v="ING. ALFONSO MONTES GALLEGOS"/>
    <x v="0"/>
    <s v="ICM"/>
    <x v="1"/>
    <n v="907"/>
    <d v="2015-10-22T00:00:00"/>
    <d v="2015-10-19T00:00:00"/>
    <n v="1"/>
    <x v="0"/>
    <n v="7"/>
    <n v="4"/>
    <n v="1"/>
  </r>
  <r>
    <s v="0277"/>
    <x v="26"/>
    <x v="18"/>
    <x v="0"/>
    <x v="1"/>
    <s v="ING. MARCIAL SANDOVAL BECERRA"/>
    <x v="9"/>
    <s v="ICM"/>
    <x v="1"/>
    <n v="916"/>
    <d v="2015-10-30T00:00:00"/>
    <d v="2015-10-19T00:00:00"/>
    <n v="1"/>
    <x v="0"/>
    <n v="13"/>
    <n v="4"/>
    <n v="1"/>
  </r>
  <r>
    <s v="0276"/>
    <x v="27"/>
    <x v="5"/>
    <x v="0"/>
    <x v="26"/>
    <s v="ING. JAVIER SALAZAR SOLÍS"/>
    <x v="0"/>
    <s v="CVJ"/>
    <x v="1"/>
    <n v="954"/>
    <d v="2015-11-24T00:00:00"/>
    <d v="2015-10-13T00:00:00"/>
    <n v="1"/>
    <x v="0"/>
    <n v="31"/>
    <n v="1"/>
    <n v="1"/>
  </r>
  <r>
    <s v="0275"/>
    <x v="27"/>
    <x v="19"/>
    <x v="0"/>
    <x v="15"/>
    <s v="MC ANA GABRIELA GARDEA GONZÁLEZ"/>
    <x v="10"/>
    <s v="CVJ"/>
    <x v="1"/>
    <s v="baja/ DN 0320"/>
    <d v="2015-10-14T00:00:00"/>
    <d v="2015-10-14T00:00:00"/>
    <n v="1"/>
    <x v="0"/>
    <n v="2"/>
    <n v="2"/>
    <n v="1"/>
  </r>
  <r>
    <s v="0274"/>
    <x v="27"/>
    <x v="11"/>
    <x v="0"/>
    <x v="15"/>
    <s v="MC ANA GABRIELA GARDEA GONZÁLEZ"/>
    <x v="5"/>
    <s v="CVJ"/>
    <x v="1"/>
    <s v="Baja"/>
    <d v="2015-11-03T00:00:00"/>
    <d v="2015-10-16T00:00:00"/>
    <n v="1"/>
    <x v="0"/>
    <n v="16"/>
    <n v="4"/>
    <n v="1"/>
  </r>
  <r>
    <s v="0273"/>
    <x v="28"/>
    <x v="5"/>
    <x v="0"/>
    <x v="12"/>
    <s v="ING. PAULO CESAR TORRES PEREZ"/>
    <x v="0"/>
    <s v="GGV"/>
    <x v="1"/>
    <n v="905"/>
    <d v="2015-10-23T00:00:00"/>
    <d v="2015-10-23T00:00:00"/>
    <n v="1"/>
    <x v="0"/>
    <n v="11"/>
    <n v="11"/>
    <n v="1"/>
  </r>
  <r>
    <s v="0272"/>
    <x v="28"/>
    <x v="5"/>
    <x v="0"/>
    <x v="12"/>
    <s v="ING. PAULO CESAR TORRES PEREZ"/>
    <x v="0"/>
    <s v="GGV"/>
    <x v="1"/>
    <n v="904"/>
    <d v="2015-10-23T00:00:00"/>
    <d v="2015-10-23T00:00:00"/>
    <n v="1"/>
    <x v="0"/>
    <n v="11"/>
    <n v="11"/>
    <n v="1"/>
  </r>
  <r>
    <s v="0271"/>
    <x v="28"/>
    <x v="3"/>
    <x v="0"/>
    <x v="3"/>
    <s v="ING. ARTURO AGUILERA ALVARADO"/>
    <x v="0"/>
    <s v="ICM"/>
    <x v="1"/>
    <n v="906"/>
    <d v="2015-10-22T00:00:00"/>
    <d v="2015-10-13T00:00:00"/>
    <n v="1"/>
    <x v="0"/>
    <n v="10"/>
    <n v="3"/>
    <n v="1"/>
  </r>
  <r>
    <s v="0270"/>
    <x v="28"/>
    <x v="3"/>
    <x v="0"/>
    <x v="3"/>
    <s v="ING. ARTURO AGUILERA ALVARADO"/>
    <x v="0"/>
    <s v="ICM"/>
    <x v="1"/>
    <n v="902"/>
    <d v="2015-10-22T00:00:00"/>
    <d v="2015-10-13T00:00:00"/>
    <n v="1"/>
    <x v="0"/>
    <n v="10"/>
    <n v="3"/>
    <n v="1"/>
  </r>
  <r>
    <s v="0269"/>
    <x v="28"/>
    <x v="3"/>
    <x v="0"/>
    <x v="3"/>
    <s v="ING. ARTURO AGUILERA ALVARADO"/>
    <x v="0"/>
    <s v="ICM"/>
    <x v="1"/>
    <n v="902"/>
    <d v="2015-10-22T00:00:00"/>
    <d v="2015-10-13T00:00:00"/>
    <n v="1"/>
    <x v="0"/>
    <n v="10"/>
    <n v="3"/>
    <n v="1"/>
  </r>
  <r>
    <s v="0268"/>
    <x v="28"/>
    <x v="3"/>
    <x v="0"/>
    <x v="3"/>
    <s v="ING. ARTURO AGUILERA ALVARADO"/>
    <x v="0"/>
    <s v="ICM"/>
    <x v="1"/>
    <n v="902"/>
    <d v="2015-10-22T00:00:00"/>
    <d v="2015-10-13T00:00:00"/>
    <n v="1"/>
    <x v="0"/>
    <n v="10"/>
    <n v="3"/>
    <n v="1"/>
  </r>
  <r>
    <s v="0267"/>
    <x v="28"/>
    <x v="3"/>
    <x v="0"/>
    <x v="3"/>
    <s v="ING. ARTURO AGUILERA ALVARADO"/>
    <x v="0"/>
    <s v="ICM"/>
    <x v="1"/>
    <n v="902"/>
    <d v="2015-10-22T00:00:00"/>
    <d v="2015-10-13T00:00:00"/>
    <n v="1"/>
    <x v="0"/>
    <n v="10"/>
    <n v="3"/>
    <n v="1"/>
  </r>
  <r>
    <s v="0266"/>
    <x v="28"/>
    <x v="3"/>
    <x v="0"/>
    <x v="3"/>
    <s v="ING. ARTURO AGUILERA ALVARADO"/>
    <x v="0"/>
    <s v="ICM"/>
    <x v="1"/>
    <n v="902"/>
    <d v="2015-10-22T00:00:00"/>
    <d v="2015-10-13T00:00:00"/>
    <n v="1"/>
    <x v="0"/>
    <n v="10"/>
    <n v="3"/>
    <n v="1"/>
  </r>
  <r>
    <s v="0265"/>
    <x v="28"/>
    <x v="3"/>
    <x v="0"/>
    <x v="3"/>
    <s v="ING. ARTURO AGUILERA ALVARADO"/>
    <x v="0"/>
    <s v="ICM"/>
    <x v="1"/>
    <n v="906"/>
    <d v="2015-10-22T00:00:00"/>
    <d v="2015-10-13T00:00:00"/>
    <n v="1"/>
    <x v="0"/>
    <n v="10"/>
    <n v="3"/>
    <n v="1"/>
  </r>
  <r>
    <s v="0264"/>
    <x v="28"/>
    <x v="3"/>
    <x v="0"/>
    <x v="3"/>
    <s v="ING. ARTURO AGUILERA ALVARADO"/>
    <x v="0"/>
    <s v="ICM"/>
    <x v="1"/>
    <n v="906"/>
    <d v="2015-10-22T00:00:00"/>
    <d v="2015-10-13T00:00:00"/>
    <n v="1"/>
    <x v="0"/>
    <s v="=IF(RC[-4]=0,0,(NETWORKDAYS(RC[-13],RC[-4])))"/>
    <n v="3"/>
    <n v="1"/>
  </r>
  <r>
    <s v="0263"/>
    <x v="28"/>
    <x v="3"/>
    <x v="0"/>
    <x v="3"/>
    <s v="ING. ARTURO AGUILERA ALVARADO"/>
    <x v="0"/>
    <s v="ICM"/>
    <x v="1"/>
    <n v="906"/>
    <d v="2015-10-22T00:00:00"/>
    <d v="2015-10-13T00:00:00"/>
    <n v="1"/>
    <x v="0"/>
    <s v="=IF(RC[-4]=0,0,(NETWORKDAYS(RC[-13],RC[-4])))"/>
    <n v="3"/>
    <n v="1"/>
  </r>
  <r>
    <s v="0262"/>
    <x v="28"/>
    <x v="3"/>
    <x v="0"/>
    <x v="3"/>
    <s v="ING. ARTURO AGUILERA ALVARADO"/>
    <x v="0"/>
    <s v="ICM"/>
    <x v="1"/>
    <n v="906"/>
    <d v="2015-10-22T00:00:00"/>
    <d v="2015-10-13T00:00:00"/>
    <n v="1"/>
    <x v="0"/>
    <s v="=IF(RC[-4]=0,0,(NETWORKDAYS(RC[-13],RC[-4])))"/>
    <n v="3"/>
    <n v="1"/>
  </r>
  <r>
    <s v="0261"/>
    <x v="29"/>
    <x v="3"/>
    <x v="0"/>
    <x v="11"/>
    <s v="DANIEL PINTO DAVALOS"/>
    <x v="0"/>
    <s v="CVJ"/>
    <x v="1"/>
    <n v="899"/>
    <d v="2015-10-16T00:00:00"/>
    <d v="2015-10-09T00:00:00"/>
    <n v="1"/>
    <x v="0"/>
    <s v="=IF(RC[-4]=0,0,(NETWORKDAYS(RC[-13],RC[-4])))"/>
    <n v="2"/>
    <n v="1"/>
  </r>
  <r>
    <s v="0260"/>
    <x v="29"/>
    <x v="3"/>
    <x v="0"/>
    <x v="11"/>
    <s v="DANIEL PINTO DAVALOS"/>
    <x v="0"/>
    <s v="CVJ"/>
    <x v="1"/>
    <n v="895"/>
    <d v="2015-10-16T00:00:00"/>
    <d v="2015-10-09T00:00:00"/>
    <n v="1"/>
    <x v="0"/>
    <s v="=IF(RC[-4]=0,0,(NETWORKDAYS(RC[-13],RC[-4])))"/>
    <n v="2"/>
    <n v="1"/>
  </r>
  <r>
    <s v="0259"/>
    <x v="30"/>
    <x v="3"/>
    <x v="0"/>
    <x v="19"/>
    <s v="ALFONSO MONTES GALLEGOS"/>
    <x v="0"/>
    <s v="ICM"/>
    <x v="1"/>
    <n v="873"/>
    <d v="2015-10-14T00:00:00"/>
    <d v="2015-10-12T00:00:00"/>
    <n v="1"/>
    <x v="0"/>
    <s v="=IF(RC[-4]=0,0,(NETWORKDAYS(RC[-13],RC[-4])))"/>
    <n v="4"/>
    <n v="1"/>
  </r>
  <r>
    <s v="0258"/>
    <x v="30"/>
    <x v="20"/>
    <x v="0"/>
    <x v="11"/>
    <s v="DANIEL PINTO DAVALOS"/>
    <x v="0"/>
    <s v="CVJ"/>
    <x v="1"/>
    <n v="898"/>
    <d v="2015-10-19T00:00:00"/>
    <d v="2015-10-19T00:00:00"/>
    <n v="1"/>
    <x v="0"/>
    <s v="=IF(RC[-4]=0,0,(NETWORKDAYS(RC[-13],RC[-4])))"/>
    <n v="9"/>
    <n v="1"/>
  </r>
  <r>
    <s v="0257"/>
    <x v="31"/>
    <x v="12"/>
    <x v="0"/>
    <x v="27"/>
    <s v="ING. ESAD AVDIC KUSTIRICA"/>
    <x v="6"/>
    <s v="CVJ"/>
    <x v="1"/>
    <n v="889"/>
    <d v="2015-10-06T00:00:00"/>
    <d v="2015-10-06T00:00:00"/>
    <n v="1"/>
    <x v="0"/>
    <s v="=IF(RC[-4]=0,0,(NETWORKDAYS(RC[-13],RC[-4])))"/>
    <n v="2"/>
    <n v="1"/>
  </r>
  <r>
    <s v="0256"/>
    <x v="32"/>
    <x v="21"/>
    <x v="0"/>
    <x v="28"/>
    <s v="ING. JULIAN MENDEZ AGUIRRE"/>
    <x v="11"/>
    <s v="CVJ"/>
    <x v="1"/>
    <s v="baja"/>
    <d v="2015-10-05T00:00:00"/>
    <d v="2015-10-05T00:00:00"/>
    <n v="1"/>
    <x v="0"/>
    <s v="=IF(RC[-4]=0,0,(NETWORKDAYS(RC[-13],RC[-4])))"/>
    <n v="2"/>
    <n v="1"/>
  </r>
  <r>
    <s v="0255"/>
    <x v="32"/>
    <x v="9"/>
    <x v="1"/>
    <x v="16"/>
    <s v="ING. ALFREDO DIONICIO BARRÓN"/>
    <x v="0"/>
    <s v="CVJ"/>
    <x v="1"/>
    <n v="869"/>
    <d v="2015-10-09T00:00:00"/>
    <d v="2015-10-09T00:00:00"/>
    <n v="1"/>
    <x v="0"/>
    <s v="=IF(RC[-4]=0,0,(NETWORKDAYS(RC[-13],RC[-4])))"/>
    <n v="6"/>
    <n v="1"/>
  </r>
  <r>
    <s v="0254"/>
    <x v="32"/>
    <x v="3"/>
    <x v="0"/>
    <x v="11"/>
    <s v="DANIEL PINTO DAVALOS"/>
    <x v="0"/>
    <s v="GGV"/>
    <x v="1"/>
    <n v="894"/>
    <d v="2015-10-19T00:00:00"/>
    <d v="2015-10-19T00:00:00"/>
    <n v="1"/>
    <x v="0"/>
    <s v="=IF(RC[-4]=0,0,(NETWORKDAYS(RC[-13],RC[-4])))"/>
    <n v="12"/>
    <n v="1"/>
  </r>
  <r>
    <s v="0253"/>
    <x v="32"/>
    <x v="3"/>
    <x v="0"/>
    <x v="11"/>
    <s v="DANIEL PINTO DAVALOS"/>
    <x v="0"/>
    <s v="GGV"/>
    <x v="1"/>
    <n v="878"/>
    <d v="2015-10-09T00:00:00"/>
    <d v="2015-10-08T00:00:00"/>
    <n v="1"/>
    <x v="0"/>
    <s v="=IF(RC[-4]=0,0,(NETWORKDAYS(RC[-13],RC[-4])))"/>
    <n v="5"/>
    <n v="1"/>
  </r>
  <r>
    <s v="0252"/>
    <x v="32"/>
    <x v="3"/>
    <x v="0"/>
    <x v="11"/>
    <s v="DANIEL PINTO DAVALOS"/>
    <x v="0"/>
    <s v="GGV"/>
    <x v="1"/>
    <n v="880"/>
    <d v="2015-10-08T00:00:00"/>
    <d v="2015-10-08T00:00:00"/>
    <n v="1"/>
    <x v="0"/>
    <s v="=IF(RC[-4]=0,0,(NETWORKDAYS(RC[-13],RC[-4])))"/>
    <n v="5"/>
    <n v="1"/>
  </r>
  <r>
    <s v="0251"/>
    <x v="32"/>
    <x v="3"/>
    <x v="0"/>
    <x v="11"/>
    <s v="DANIEL PINTO DAVALOS"/>
    <x v="0"/>
    <s v="GGV"/>
    <x v="1"/>
    <s v="888.pdf"/>
    <d v="2015-10-09T00:00:00"/>
    <d v="2015-10-09T00:00:00"/>
    <n v="1"/>
    <x v="0"/>
    <s v="=IF(RC[-4]=0,0,(NETWORKDAYS(RC[-13],RC[-4])))"/>
    <n v="6"/>
    <n v="1"/>
  </r>
  <r>
    <s v="0250"/>
    <x v="32"/>
    <x v="7"/>
    <x v="0"/>
    <x v="6"/>
    <s v="ING. DANIEL PEREZ CASTAÑEDA"/>
    <x v="2"/>
    <s v="CVJ"/>
    <x v="1"/>
    <n v="861"/>
    <d v="2015-10-07T00:00:00"/>
    <d v="2015-10-07T00:00:00"/>
    <n v="1"/>
    <x v="0"/>
    <s v="=IF(RC[-4]=0,0,(NETWORKDAYS(RC[-13],RC[-4])))"/>
    <n v="4"/>
    <n v="1"/>
  </r>
  <r>
    <s v="0249"/>
    <x v="33"/>
    <x v="5"/>
    <x v="0"/>
    <x v="9"/>
    <s v="M. EN C. UBALDO MENDOZA MEJÍA"/>
    <x v="0"/>
    <s v="CVJ"/>
    <x v="1"/>
    <s v="Baja"/>
    <d v="2015-10-05T00:00:00"/>
    <d v="2015-10-05T00:00:00"/>
    <n v="1"/>
    <x v="0"/>
    <s v="=IF(RC[-4]=0,0,(NETWORKDAYS(RC[-13],RC[-4])))"/>
    <n v="3"/>
    <n v="1"/>
  </r>
  <r>
    <s v="0248"/>
    <x v="33"/>
    <x v="17"/>
    <x v="0"/>
    <x v="24"/>
    <s v="OSCAR PALACIOS TORRES"/>
    <x v="9"/>
    <s v="ICM"/>
    <x v="1"/>
    <s v="Remplaza DN 0281"/>
    <m/>
    <d v="2015-10-06T00:00:00"/>
    <n v="1"/>
    <x v="0"/>
    <s v="=IF(RC[-4]=0,0,(NETWORKDAYS(RC[-13],RC[-4])))"/>
    <n v="4"/>
    <n v="1"/>
  </r>
  <r>
    <s v="0247"/>
    <x v="34"/>
    <x v="10"/>
    <x v="0"/>
    <x v="22"/>
    <s v="MARCO ANTONIO FUENTES"/>
    <x v="4"/>
    <s v="CVJ"/>
    <x v="1"/>
    <n v="900"/>
    <d v="2015-10-22T00:00:00"/>
    <d v="2015-10-07T00:00:00"/>
    <n v="1"/>
    <x v="0"/>
    <s v="=IF(RC[-4]=0,0,(NETWORKDAYS(RC[-13],RC[-4])))"/>
    <n v="7"/>
    <n v="1"/>
  </r>
  <r>
    <s v="0246"/>
    <x v="35"/>
    <x v="2"/>
    <x v="0"/>
    <x v="29"/>
    <s v="ING. ERNESTO ASTUDILLO CASTREJON"/>
    <x v="1"/>
    <s v="CVJ"/>
    <x v="1"/>
    <s v="Baja "/>
    <d v="2015-09-29T00:00:00"/>
    <d v="2015-09-29T00:00:00"/>
    <n v="1"/>
    <x v="0"/>
    <s v="=IF(RC[-4]=0,0,(NETWORKDAYS(RC[-13],RC[-4])))"/>
    <n v="2"/>
    <n v="1"/>
  </r>
  <r>
    <s v="0245"/>
    <x v="36"/>
    <x v="5"/>
    <x v="0"/>
    <x v="30"/>
    <s v="ING. JAVIER SALAZAR SOLÍS"/>
    <x v="0"/>
    <s v="CVJ"/>
    <x v="1"/>
    <s v="Baja"/>
    <d v="2015-10-07T00:00:00"/>
    <d v="2015-10-07T00:00:00"/>
    <n v="1"/>
    <x v="0"/>
    <s v="=IF(RC[-4]=0,0,(NETWORKDAYS(RC[-13],RC[-4])))"/>
    <n v="9"/>
    <n v="1"/>
  </r>
  <r>
    <s v="0244"/>
    <x v="37"/>
    <x v="14"/>
    <x v="0"/>
    <x v="20"/>
    <s v="ING. CLAUDIO TORRES NAVA"/>
    <x v="8"/>
    <s v="CVJ"/>
    <x v="1"/>
    <n v="830"/>
    <d v="2015-09-29T00:00:00"/>
    <d v="2015-09-29T00:00:00"/>
    <n v="1"/>
    <x v="0"/>
    <s v="=IF(RC[-4]=0,0,(NETWORKDAYS(RC[-13],RC[-4])))"/>
    <n v="5"/>
    <n v="1"/>
  </r>
  <r>
    <s v="0243"/>
    <x v="37"/>
    <x v="5"/>
    <x v="0"/>
    <x v="4"/>
    <s v="ING. NANCY RAMIREZ "/>
    <x v="0"/>
    <s v="ICM"/>
    <x v="1"/>
    <s v="Baja-DN-0243 12-10-2015.pdf"/>
    <d v="2015-10-12T00:00:00"/>
    <d v="2015-09-28T00:00:00"/>
    <n v="1"/>
    <x v="0"/>
    <s v="=IF(RC[-4]=0,0,(NETWORKDAYS(RC[-13],RC[-4])))"/>
    <n v="4"/>
    <n v="1"/>
  </r>
  <r>
    <s v="0242"/>
    <x v="38"/>
    <x v="4"/>
    <x v="0"/>
    <x v="5"/>
    <s v="ING. REYNALDO PANIAGUA SALINAS"/>
    <x v="0"/>
    <s v="GGV"/>
    <x v="1"/>
    <n v="827"/>
    <d v="2015-09-29T00:00:00"/>
    <d v="2015-09-29T00:00:00"/>
    <n v="1"/>
    <x v="0"/>
    <s v="=IF(RC[-4]=0,0,(NETWORKDAYS(RC[-13],RC[-4])))"/>
    <n v="6"/>
    <n v="1"/>
  </r>
  <r>
    <s v="0241"/>
    <x v="39"/>
    <x v="22"/>
    <x v="0"/>
    <x v="2"/>
    <s v="MARCO ANTONIO VENEGAS"/>
    <x v="0"/>
    <s v="ICM"/>
    <x v="1"/>
    <n v="879"/>
    <d v="2015-10-08T00:00:00"/>
    <d v="2015-10-01T00:00:00"/>
    <n v="1"/>
    <x v="0"/>
    <s v="=IF(RC[-4]=0,0,(NETWORKDAYS(RC[-13],RC[-4])))"/>
    <n v="9"/>
    <n v="1"/>
  </r>
  <r>
    <s v="0240"/>
    <x v="40"/>
    <x v="5"/>
    <x v="0"/>
    <x v="12"/>
    <s v="ING. PAULO CESAR TORRES"/>
    <x v="0"/>
    <s v="ICM"/>
    <x v="1"/>
    <n v="858"/>
    <d v="2015-10-06T00:00:00"/>
    <d v="2015-09-25T00:00:00"/>
    <n v="1"/>
    <x v="0"/>
    <s v="=IF(RC[-4]=0,0,(NETWORKDAYS(RC[-13],RC[-4])))"/>
    <n v="6"/>
    <n v="1"/>
  </r>
  <r>
    <s v="0239"/>
    <x v="40"/>
    <x v="8"/>
    <x v="0"/>
    <x v="25"/>
    <s v="ING. ALEXANDER AYALA HERNÁNDEZ"/>
    <x v="3"/>
    <s v="CVJ"/>
    <x v="1"/>
    <s v="Baja"/>
    <d v="2015-10-09T00:00:00"/>
    <d v="2015-09-29T00:00:00"/>
    <n v="1"/>
    <x v="0"/>
    <s v="=IF(RC[-4]=0,0,(NETWORKDAYS(RC[-13],RC[-4])))"/>
    <n v="8"/>
    <n v="1"/>
  </r>
  <r>
    <s v="0238"/>
    <x v="41"/>
    <x v="10"/>
    <x v="0"/>
    <x v="14"/>
    <s v="PIERO COMEL B."/>
    <x v="4"/>
    <s v="CVJ"/>
    <x v="1"/>
    <s v="Baja"/>
    <d v="2015-09-30T00:00:00"/>
    <d v="2015-09-29T00:00:00"/>
    <n v="1"/>
    <x v="0"/>
    <s v="=IF(RC[-4]=0,0,(NETWORKDAYS(RC[-13],RC[-4])))"/>
    <n v="9"/>
    <n v="1"/>
  </r>
  <r>
    <s v="0237"/>
    <x v="42"/>
    <x v="12"/>
    <x v="0"/>
    <x v="6"/>
    <s v="ING. HUMBERTO GONZÁLEZ JUÁREZ"/>
    <x v="6"/>
    <s v="CVJ"/>
    <x v="1"/>
    <n v="814"/>
    <d v="2015-09-21T00:00:00"/>
    <d v="2015-09-21T00:00:00"/>
    <n v="1"/>
    <x v="0"/>
    <s v="=IF(RC[-4]=0,0,(NETWORKDAYS(RC[-13],RC[-4])))"/>
    <n v="5"/>
    <n v="1"/>
  </r>
  <r>
    <s v="0236"/>
    <x v="43"/>
    <x v="6"/>
    <x v="0"/>
    <x v="5"/>
    <s v="ING. REYNALDO PANIAGUA SALINAS"/>
    <x v="0"/>
    <s v="GGV"/>
    <x v="1"/>
    <n v="881"/>
    <d v="2015-10-08T00:00:00"/>
    <d v="2015-10-01T00:00:00"/>
    <n v="1"/>
    <x v="0"/>
    <s v="=IF(RC[-4]=0,0,(NETWORKDAYS(RC[-13],RC[-4])))"/>
    <n v="14"/>
    <n v="1"/>
  </r>
  <r>
    <s v="0235"/>
    <x v="43"/>
    <x v="3"/>
    <x v="0"/>
    <x v="27"/>
    <s v="DIANA MARCELA IBAÑEZ DAZA"/>
    <x v="0"/>
    <s v="CVJ"/>
    <x v="1"/>
    <n v="813"/>
    <d v="2015-09-18T00:00:00"/>
    <d v="2015-09-18T00:00:00"/>
    <n v="1"/>
    <x v="0"/>
    <s v="=IF(RC[-4]=0,0,(NETWORKDAYS(RC[-13],RC[-4])))"/>
    <n v="5"/>
    <n v="1"/>
  </r>
  <r>
    <s v="0234"/>
    <x v="44"/>
    <x v="17"/>
    <x v="1"/>
    <x v="24"/>
    <s v="ING.OSCAR PALACIOS TORRES"/>
    <x v="9"/>
    <s v="ICM"/>
    <x v="1"/>
    <s v="Baja"/>
    <d v="2015-10-06T00:00:00"/>
    <d v="2015-09-21T00:00:00"/>
    <n v="1"/>
    <x v="0"/>
    <s v="=IF(RC[-4]=0,0,(NETWORKDAYS(RC[-13],RC[-4])))"/>
    <n v="8"/>
    <n v="1"/>
  </r>
  <r>
    <s v="0233"/>
    <x v="45"/>
    <x v="9"/>
    <x v="1"/>
    <x v="13"/>
    <s v="ING. FRANCSICO PLATA PEREZ"/>
    <x v="0"/>
    <s v="CVJ"/>
    <x v="1"/>
    <n v="810"/>
    <d v="2015-09-21T00:00:00"/>
    <d v="2015-09-21T00:00:00"/>
    <n v="1"/>
    <x v="0"/>
    <s v="=IF(RC[-4]=0,0,(NETWORKDAYS(RC[-13],RC[-4])))"/>
    <n v="7"/>
    <n v="1"/>
  </r>
  <r>
    <s v="0232"/>
    <x v="46"/>
    <x v="1"/>
    <x v="0"/>
    <x v="31"/>
    <s v="DANIEL VARGAS HERNÁNDEZ"/>
    <x v="0"/>
    <s v="CVJ"/>
    <x v="1"/>
    <n v="812"/>
    <d v="2015-09-21T00:00:00"/>
    <d v="2015-09-21T00:00:00"/>
    <n v="1"/>
    <x v="0"/>
    <s v="=IF(RC[-4]=0,0,(NETWORKDAYS(RC[-13],RC[-4])))"/>
    <n v="9"/>
    <n v="1"/>
  </r>
  <r>
    <s v="0231"/>
    <x v="47"/>
    <x v="5"/>
    <x v="0"/>
    <x v="4"/>
    <s v="ING. NANCY RAMÍREZ"/>
    <x v="0"/>
    <s v="ICM"/>
    <x v="1"/>
    <s v="Baja"/>
    <d v="2015-10-12T00:00:00"/>
    <d v="2015-09-11T00:00:00"/>
    <n v="1"/>
    <x v="0"/>
    <s v="=IF(RC[-4]=0,0,(NETWORKDAYS(RC[-13],RC[-4])))"/>
    <n v="4"/>
    <n v="1"/>
  </r>
  <r>
    <s v="0230"/>
    <x v="47"/>
    <x v="5"/>
    <x v="0"/>
    <x v="19"/>
    <s v="ING. ALFONSO MONTES GALLEGOS"/>
    <x v="0"/>
    <s v="CVJ"/>
    <x v="1"/>
    <n v="816"/>
    <d v="2015-09-21T00:00:00"/>
    <d v="2015-09-21T00:00:00"/>
    <n v="1"/>
    <x v="0"/>
    <s v="=IF(RC[-4]=0,0,(NETWORKDAYS(RC[-13],RC[-4])))"/>
    <n v="10"/>
    <n v="1"/>
  </r>
  <r>
    <s v="0229"/>
    <x v="47"/>
    <x v="5"/>
    <x v="0"/>
    <x v="19"/>
    <s v="ING. ALFONSO MONTES GALLEGOS"/>
    <x v="0"/>
    <s v="CVJ"/>
    <x v="1"/>
    <n v="815"/>
    <d v="2015-09-18T00:00:00"/>
    <d v="2015-09-18T00:00:00"/>
    <n v="1"/>
    <x v="0"/>
    <s v="=IF(RC[-4]=0,0,(NETWORKDAYS(RC[-13],RC[-4])))"/>
    <n v="9"/>
    <n v="1"/>
  </r>
  <r>
    <s v="0228"/>
    <x v="48"/>
    <x v="4"/>
    <x v="0"/>
    <x v="5"/>
    <s v="REYNALDO PANIAGUA SALINAS"/>
    <x v="0"/>
    <s v="GGV"/>
    <x v="1"/>
    <n v="806"/>
    <d v="2015-09-11T00:00:00"/>
    <d v="2015-09-11T00:00:00"/>
    <n v="1"/>
    <x v="0"/>
    <s v="=IF(RC[-4]=0,0,(NETWORKDAYS(RC[-13],RC[-4])))"/>
    <n v="5"/>
    <n v="1"/>
  </r>
  <r>
    <s v="0227"/>
    <x v="48"/>
    <x v="5"/>
    <x v="0"/>
    <x v="5"/>
    <s v="REYNALDO PANIAGUA SALINAS"/>
    <x v="0"/>
    <s v="GGV"/>
    <x v="1"/>
    <n v="829"/>
    <d v="2015-09-21T00:00:00"/>
    <d v="2015-09-09T00:00:00"/>
    <n v="1"/>
    <x v="0"/>
    <s v="=IF(RC[-4]=0,0,(NETWORKDAYS(RC[-13],RC[-4])))"/>
    <n v="3"/>
    <n v="1"/>
  </r>
  <r>
    <s v="0226"/>
    <x v="48"/>
    <x v="23"/>
    <x v="0"/>
    <x v="11"/>
    <s v="SAULO F. CAMARILLO CASTILLO"/>
    <x v="12"/>
    <s v="GGV"/>
    <x v="1"/>
    <n v="826"/>
    <d v="2015-09-18T00:00:00"/>
    <d v="2015-09-18T00:00:00"/>
    <n v="1"/>
    <x v="0"/>
    <s v="=IF(RC[-4]=0,0,(NETWORKDAYS(RC[-13],RC[-4])))"/>
    <n v="10"/>
    <n v="1"/>
  </r>
  <r>
    <s v="0225"/>
    <x v="48"/>
    <x v="5"/>
    <x v="0"/>
    <x v="11"/>
    <s v="DANIEL PINTO DÁVALOS"/>
    <x v="0"/>
    <s v="GGV"/>
    <x v="1"/>
    <s v="Baja"/>
    <d v="2015-10-02T00:00:00"/>
    <d v="2015-09-15T00:00:00"/>
    <n v="1"/>
    <x v="0"/>
    <s v="=IF(RC[-4]=0,0,(NETWORKDAYS(RC[-13],RC[-4])))"/>
    <n v="7"/>
    <n v="1"/>
  </r>
  <r>
    <s v="0224"/>
    <x v="48"/>
    <x v="6"/>
    <x v="0"/>
    <x v="11"/>
    <s v="DANIEL PINTO DÁVALOS"/>
    <x v="0"/>
    <s v="GGV"/>
    <x v="1"/>
    <s v="Baja"/>
    <d v="2015-10-02T00:00:00"/>
    <d v="2015-09-15T00:00:00"/>
    <n v="1"/>
    <x v="0"/>
    <s v="=IF(RC[-4]=0,0,(NETWORKDAYS(RC[-13],RC[-4])))"/>
    <n v="7"/>
    <n v="1"/>
  </r>
  <r>
    <s v="0223"/>
    <x v="48"/>
    <x v="4"/>
    <x v="0"/>
    <x v="11"/>
    <s v="DANIEL PINTO DÁVALOS"/>
    <x v="0"/>
    <s v="GGV"/>
    <x v="1"/>
    <n v="811"/>
    <d v="2015-09-21T00:00:00"/>
    <d v="2015-09-21T00:00:00"/>
    <n v="1"/>
    <x v="0"/>
    <s v="=IF(RC[-4]=0,0,(NETWORKDAYS(RC[-13],RC[-4])))"/>
    <n v="11"/>
    <n v="1"/>
  </r>
  <r>
    <s v="0222"/>
    <x v="49"/>
    <x v="10"/>
    <x v="0"/>
    <x v="22"/>
    <s v="MARCO ANTONIO FUENTES"/>
    <x v="4"/>
    <s v="GGV"/>
    <x v="1"/>
    <s v="Baja"/>
    <d v="2015-09-10T00:00:00"/>
    <d v="2015-09-10T00:00:00"/>
    <n v="1"/>
    <x v="0"/>
    <s v="=IF(RC[-4]=0,0,(NETWORKDAYS(RC[-13],RC[-4])))"/>
    <n v="5"/>
    <n v="1"/>
  </r>
  <r>
    <s v="0221"/>
    <x v="50"/>
    <x v="24"/>
    <x v="0"/>
    <x v="11"/>
    <s v="DANIEL PINTO DÁVALOS"/>
    <x v="0"/>
    <s v="CVJ"/>
    <x v="1"/>
    <n v="783"/>
    <d v="2015-09-07T00:00:00"/>
    <d v="2015-09-07T00:00:00"/>
    <n v="1"/>
    <x v="0"/>
    <s v="=IF(RC[-4]=0,0,(NETWORKDAYS(RC[-13],RC[-4])))"/>
    <n v="3"/>
    <n v="1"/>
  </r>
  <r>
    <s v="0220"/>
    <x v="50"/>
    <x v="24"/>
    <x v="0"/>
    <x v="11"/>
    <s v="DANIEL PINTO DÁVALOS"/>
    <x v="0"/>
    <s v="CVJ"/>
    <x v="1"/>
    <n v="781"/>
    <d v="2015-09-07T00:00:00"/>
    <d v="2015-09-07T00:00:00"/>
    <n v="1"/>
    <x v="0"/>
    <s v="=IF(RC[-4]=0,0,(NETWORKDAYS(RC[-13],RC[-4])))"/>
    <n v="3"/>
    <n v="1"/>
  </r>
  <r>
    <s v="0219"/>
    <x v="50"/>
    <x v="25"/>
    <x v="2"/>
    <x v="32"/>
    <s v="ING. LUIS EDER SOTO CASTREJON"/>
    <x v="13"/>
    <s v="CVJ"/>
    <x v="1"/>
    <n v="797"/>
    <d v="2015-09-11T00:00:00"/>
    <d v="2015-09-11T00:00:00"/>
    <n v="1"/>
    <x v="0"/>
    <s v="=IF(RC[-4]=0,0,(NETWORKDAYS(RC[-13],RC[-4])))"/>
    <n v="7"/>
    <n v="1"/>
  </r>
  <r>
    <s v="0218"/>
    <x v="51"/>
    <x v="26"/>
    <x v="0"/>
    <x v="33"/>
    <s v="LIC. J. ANTONIO AGUILAR PÉREZ"/>
    <x v="3"/>
    <s v="CVJ"/>
    <x v="1"/>
    <n v="775"/>
    <d v="2015-09-04T00:00:00"/>
    <d v="2015-09-04T00:00:00"/>
    <n v="1"/>
    <x v="0"/>
    <s v="=IF(RC[-4]=0,0,(NETWORKDAYS(RC[-13],RC[-4])))"/>
    <n v="3"/>
    <n v="1"/>
  </r>
  <r>
    <s v="0217"/>
    <x v="51"/>
    <x v="27"/>
    <x v="0"/>
    <x v="34"/>
    <s v="JUAN JOSÉ BALVER GONZÁLEZ"/>
    <x v="14"/>
    <s v="ICM"/>
    <x v="1"/>
    <n v="790"/>
    <d v="2015-09-07T00:00:00"/>
    <d v="2015-09-07T00:00:00"/>
    <n v="1"/>
    <x v="0"/>
    <s v="=IF(RC[-4]=0,0,(NETWORKDAYS(RC[-13],RC[-4])))"/>
    <n v="4"/>
    <n v="1"/>
  </r>
  <r>
    <s v="0216"/>
    <x v="52"/>
    <x v="12"/>
    <x v="0"/>
    <x v="6"/>
    <s v="ING. HUMBERTO  GONZALEZ "/>
    <x v="6"/>
    <s v="CVJ"/>
    <x v="1"/>
    <s v="BAJA -DN-216-2015.pdf"/>
    <d v="2015-09-02T00:00:00"/>
    <d v="2015-09-02T00:00:00"/>
    <n v="1"/>
    <x v="0"/>
    <s v="=IF(RC[-4]=0,0,(NETWORKDAYS(RC[-13],RC[-4])))"/>
    <n v="4"/>
    <n v="1"/>
  </r>
  <r>
    <s v="0215"/>
    <x v="53"/>
    <x v="9"/>
    <x v="1"/>
    <x v="16"/>
    <s v="ING. ALFREDO DIONICIO BARRON"/>
    <x v="0"/>
    <s v="CVJ"/>
    <x v="1"/>
    <n v="782"/>
    <d v="2015-09-07T00:00:00"/>
    <d v="2015-09-07T00:00:00"/>
    <n v="1"/>
    <x v="0"/>
    <n v="8"/>
    <n v="8"/>
    <n v="1"/>
  </r>
  <r>
    <s v="0214"/>
    <x v="53"/>
    <x v="5"/>
    <x v="0"/>
    <x v="5"/>
    <s v="REYNALDO PANIAGUA SALINAS"/>
    <x v="0"/>
    <s v="GGV"/>
    <x v="1"/>
    <n v="825"/>
    <d v="2015-09-21T00:00:00"/>
    <d v="2015-09-09T00:00:00"/>
    <n v="1"/>
    <x v="0"/>
    <n v="18"/>
    <n v="10"/>
    <n v="1"/>
  </r>
  <r>
    <s v="0213"/>
    <x v="53"/>
    <x v="4"/>
    <x v="0"/>
    <x v="5"/>
    <s v="REYNALDO PANIAGUA SALINAS"/>
    <x v="0"/>
    <s v="GGV"/>
    <x v="1"/>
    <n v="828"/>
    <d v="2015-09-24T00:00:00"/>
    <d v="2015-09-24T00:00:00"/>
    <n v="1"/>
    <x v="0"/>
    <n v="21"/>
    <n v="21"/>
    <n v="1"/>
  </r>
  <r>
    <s v="0212"/>
    <x v="54"/>
    <x v="9"/>
    <x v="0"/>
    <x v="27"/>
    <s v="LUIS FELIPE CANTOR"/>
    <x v="0"/>
    <s v="CVJ"/>
    <x v="1"/>
    <n v="765"/>
    <d v="2015-08-27T00:00:00"/>
    <d v="2015-08-26T00:00:00"/>
    <n v="1"/>
    <x v="0"/>
    <n v="2"/>
    <n v="1"/>
    <n v="1"/>
  </r>
  <r>
    <s v="0211"/>
    <x v="54"/>
    <x v="8"/>
    <x v="0"/>
    <x v="25"/>
    <s v="ING. ALEXANDER AYALA"/>
    <x v="3"/>
    <s v="CVJ"/>
    <x v="1"/>
    <n v="766"/>
    <d v="2015-08-28T00:00:00"/>
    <d v="2015-08-26T00:00:00"/>
    <n v="1"/>
    <x v="0"/>
    <n v="3"/>
    <n v="1"/>
    <n v="1"/>
  </r>
  <r>
    <s v="0210"/>
    <x v="54"/>
    <x v="28"/>
    <x v="0"/>
    <x v="9"/>
    <s v="M. EN C. UBALDO MENDOZA MEJÍA"/>
    <x v="15"/>
    <s v="CVJ"/>
    <x v="1"/>
    <n v="763"/>
    <d v="2015-08-27T00:00:00"/>
    <d v="2015-08-26T00:00:00"/>
    <n v="1"/>
    <x v="0"/>
    <n v="2"/>
    <n v="1"/>
    <n v="1"/>
  </r>
  <r>
    <s v="0209"/>
    <x v="55"/>
    <x v="5"/>
    <x v="0"/>
    <x v="4"/>
    <s v="ING. NANCY RAMÍREZ"/>
    <x v="0"/>
    <s v="ICM"/>
    <x v="1"/>
    <s v="Baja"/>
    <d v="2015-09-01T00:00:00"/>
    <d v="2015-08-31T00:00:00"/>
    <n v="1"/>
    <x v="0"/>
    <n v="6"/>
    <n v="5"/>
    <n v="1"/>
  </r>
  <r>
    <s v="0208"/>
    <x v="56"/>
    <x v="29"/>
    <x v="0"/>
    <x v="11"/>
    <s v="ING. DANIEL PINTO DÁVALOS"/>
    <x v="0"/>
    <s v="CVJ"/>
    <x v="1"/>
    <n v="759"/>
    <d v="2015-08-26T00:00:00"/>
    <d v="2015-08-26T00:00:00"/>
    <n v="1"/>
    <x v="0"/>
    <n v="16"/>
    <n v="16"/>
    <n v="1"/>
  </r>
  <r>
    <s v="0207"/>
    <x v="57"/>
    <x v="30"/>
    <x v="0"/>
    <x v="27"/>
    <s v="ING. JAIME BENJAMÍN YEVERINO ROMERO"/>
    <x v="8"/>
    <s v="CVJ"/>
    <x v="1"/>
    <n v="762"/>
    <d v="2015-08-27T00:00:00"/>
    <d v="2015-08-25T00:00:00"/>
    <n v="1"/>
    <x v="0"/>
    <n v="5"/>
    <n v="3"/>
    <n v="1"/>
  </r>
  <r>
    <s v="0206"/>
    <x v="58"/>
    <x v="24"/>
    <x v="0"/>
    <x v="35"/>
    <s v="ING. DANIEL PINTO DÁVALOS"/>
    <x v="0"/>
    <s v="CVJ"/>
    <x v="1"/>
    <s v="Baja"/>
    <d v="2015-08-26T00:00:00"/>
    <d v="2015-08-20T00:00:00"/>
    <n v="1"/>
    <x v="0"/>
    <n v="7"/>
    <n v="3"/>
    <n v="1"/>
  </r>
  <r>
    <s v="0205"/>
    <x v="58"/>
    <x v="20"/>
    <x v="0"/>
    <x v="35"/>
    <s v="ING. DANIEL PINTO DÁVALOS"/>
    <x v="0"/>
    <s v="CVJ"/>
    <x v="1"/>
    <s v="Baja"/>
    <d v="2015-08-26T00:00:00"/>
    <d v="2015-08-20T00:00:00"/>
    <n v="1"/>
    <x v="0"/>
    <n v="7"/>
    <n v="3"/>
    <n v="1"/>
  </r>
  <r>
    <s v="0204"/>
    <x v="59"/>
    <x v="15"/>
    <x v="0"/>
    <x v="21"/>
    <s v="ING. SALVADOR RAMIREZ LOZANO"/>
    <x v="0"/>
    <s v="CVJ"/>
    <x v="1"/>
    <s v="Baja"/>
    <d v="2015-08-26T00:00:00"/>
    <d v="2015-08-21T00:00:00"/>
    <n v="1"/>
    <x v="0"/>
    <n v="8"/>
    <n v="5"/>
    <n v="1"/>
  </r>
  <r>
    <s v="0203"/>
    <x v="59"/>
    <x v="31"/>
    <x v="0"/>
    <x v="36"/>
    <s v="ING. MARIO M. ROJAS E."/>
    <x v="11"/>
    <s v="CVJ"/>
    <x v="1"/>
    <n v="764"/>
    <d v="2015-08-26T00:00:00"/>
    <d v="2015-08-21T00:00:00"/>
    <n v="1"/>
    <x v="0"/>
    <n v="8"/>
    <n v="5"/>
    <n v="1"/>
  </r>
  <r>
    <s v="0202"/>
    <x v="60"/>
    <x v="5"/>
    <x v="0"/>
    <x v="19"/>
    <s v="ING. ALFONSO MONTES GALLEGOS"/>
    <x v="0"/>
    <s v="GGV"/>
    <x v="1"/>
    <s v="Baja"/>
    <d v="2015-08-26T00:00:00"/>
    <d v="2015-08-26T00:00:00"/>
    <n v="1"/>
    <x v="0"/>
    <n v="9"/>
    <n v="9"/>
    <n v="1"/>
  </r>
  <r>
    <s v="0201"/>
    <x v="61"/>
    <x v="28"/>
    <x v="0"/>
    <x v="9"/>
    <s v="M. en C. Ubaldo Mendoza Mejía"/>
    <x v="15"/>
    <s v="CVJ"/>
    <x v="1"/>
    <s v="Baja"/>
    <d v="2015-08-17T00:00:00"/>
    <d v="2015-08-17T00:00:00"/>
    <n v="1"/>
    <x v="0"/>
    <s v="=IF(RC[-4]=0,0,(NETWORKDAYS(RC[-13],RC[-4])))"/>
    <n v="3"/>
    <n v="1"/>
  </r>
  <r>
    <s v="0200"/>
    <x v="61"/>
    <x v="28"/>
    <x v="0"/>
    <x v="9"/>
    <s v="M. en C. Ubaldo Mendoza Mejía"/>
    <x v="15"/>
    <s v="CVJ"/>
    <x v="1"/>
    <s v="Baja"/>
    <d v="2015-08-17T00:00:00"/>
    <d v="2015-08-17T00:00:00"/>
    <n v="1"/>
    <x v="0"/>
    <s v="=IF(RC[-4]=0,0,(NETWORKDAYS(RC[-13],RC[-4])))"/>
    <n v="3"/>
    <n v="1"/>
  </r>
  <r>
    <s v="0199"/>
    <x v="61"/>
    <x v="28"/>
    <x v="0"/>
    <x v="9"/>
    <s v="M. en C. Ubaldo Mendoza Mejía"/>
    <x v="15"/>
    <s v="CVJ"/>
    <x v="1"/>
    <s v="Baja"/>
    <d v="2015-08-17T00:00:00"/>
    <d v="2015-08-17T00:00:00"/>
    <n v="1"/>
    <x v="0"/>
    <s v="=IF(RC[-4]=0,0,(NETWORKDAYS(RC[-13],RC[-4])))"/>
    <n v="3"/>
    <n v="1"/>
  </r>
  <r>
    <s v="0198"/>
    <x v="61"/>
    <x v="32"/>
    <x v="0"/>
    <x v="37"/>
    <s v="ENRIQUE GUZMAN ALONSO"/>
    <x v="13"/>
    <s v="GGV"/>
    <x v="1"/>
    <s v="733  y 732"/>
    <d v="2015-08-13T00:00:00"/>
    <d v="2015-08-13T00:00:00"/>
    <n v="1"/>
    <x v="0"/>
    <s v="=IF(RC[-4]=0,0,(NETWORKDAYS(RC[-13],RC[-4])))"/>
    <n v="1"/>
    <n v="1"/>
  </r>
  <r>
    <s v="0197"/>
    <x v="62"/>
    <x v="3"/>
    <x v="0"/>
    <x v="11"/>
    <s v="ING. DANIEL PINTO DAVALOS"/>
    <x v="0"/>
    <s v="GGV"/>
    <x v="1"/>
    <s v="Baja"/>
    <d v="2015-08-26T00:00:00"/>
    <d v="2015-08-18T00:00:00"/>
    <n v="1"/>
    <x v="0"/>
    <n v="11"/>
    <n v="5"/>
    <n v="1"/>
  </r>
  <r>
    <s v="0196"/>
    <x v="62"/>
    <x v="3"/>
    <x v="0"/>
    <x v="11"/>
    <s v="ING. DANIEL PINTO DAVALOS"/>
    <x v="0"/>
    <s v="GGV"/>
    <x v="1"/>
    <s v="Baja"/>
    <d v="2015-08-26T00:00:00"/>
    <d v="2015-08-18T00:00:00"/>
    <n v="1"/>
    <x v="0"/>
    <n v="11"/>
    <n v="5"/>
    <n v="1"/>
  </r>
  <r>
    <s v="0195"/>
    <x v="63"/>
    <x v="3"/>
    <x v="0"/>
    <x v="12"/>
    <s v="ING. PAULO CÉSAR TORRES PÉREZ"/>
    <x v="0"/>
    <s v="GGV"/>
    <x v="1"/>
    <n v="744"/>
    <d v="2015-08-19T00:00:00"/>
    <d v="2015-08-13T00:00:00"/>
    <n v="1"/>
    <x v="0"/>
    <n v="8"/>
    <n v="4"/>
    <n v="1"/>
  </r>
  <r>
    <s v="0194"/>
    <x v="63"/>
    <x v="3"/>
    <x v="0"/>
    <x v="12"/>
    <s v="ING. PAULO CÉSAR TORRES PÉREZ"/>
    <x v="0"/>
    <s v="GGV"/>
    <x v="1"/>
    <n v="743"/>
    <d v="2015-08-19T00:00:00"/>
    <d v="2015-08-13T00:00:00"/>
    <n v="1"/>
    <x v="0"/>
    <n v="8"/>
    <n v="4"/>
    <n v="1"/>
  </r>
  <r>
    <s v="0193"/>
    <x v="64"/>
    <x v="9"/>
    <x v="1"/>
    <x v="16"/>
    <s v="ALFREDO DIONICIO BARRÓN"/>
    <x v="0"/>
    <s v="GGV"/>
    <x v="1"/>
    <s v="746 y 747"/>
    <d v="2015-08-21T00:00:00"/>
    <d v="2015-08-12T00:00:00"/>
    <n v="1"/>
    <x v="0"/>
    <n v="11"/>
    <n v="4"/>
    <n v="1"/>
  </r>
  <r>
    <s v="0192"/>
    <x v="64"/>
    <x v="9"/>
    <x v="1"/>
    <x v="16"/>
    <s v="FRANCISCO PLATA PEREZ"/>
    <x v="0"/>
    <s v="GGV"/>
    <x v="1"/>
    <s v="730 y 731 y Baja"/>
    <d v="2015-08-17T00:00:00"/>
    <d v="2015-08-12T00:00:00"/>
    <n v="1"/>
    <x v="0"/>
    <n v="7"/>
    <n v="4"/>
    <n v="1"/>
  </r>
  <r>
    <s v="0191"/>
    <x v="65"/>
    <x v="9"/>
    <x v="1"/>
    <x v="16"/>
    <s v="ALFREDO DIONISIO BARRON"/>
    <x v="0"/>
    <s v="GGV"/>
    <x v="1"/>
    <n v="715"/>
    <d v="2015-08-07T00:00:00"/>
    <d v="2015-08-06T00:00:00"/>
    <n v="1"/>
    <x v="0"/>
    <n v="5"/>
    <n v="4"/>
    <n v="1"/>
  </r>
  <r>
    <s v="0190"/>
    <x v="65"/>
    <x v="10"/>
    <x v="1"/>
    <x v="22"/>
    <s v="MARCO ANTONIO FUENTES"/>
    <x v="4"/>
    <s v="GGV"/>
    <x v="1"/>
    <n v="716"/>
    <d v="2015-08-07T00:00:00"/>
    <d v="2015-08-07T00:00:00"/>
    <n v="1"/>
    <x v="0"/>
    <n v="5"/>
    <n v="5"/>
    <n v="1"/>
  </r>
  <r>
    <s v="0189"/>
    <x v="66"/>
    <x v="3"/>
    <x v="0"/>
    <x v="35"/>
    <s v="DANIEL PINTO"/>
    <x v="0"/>
    <s v="GGV"/>
    <x v="1"/>
    <s v="Baja"/>
    <d v="2015-08-26T00:00:00"/>
    <d v="2015-08-04T00:00:00"/>
    <n v="1"/>
    <x v="0"/>
    <n v="19"/>
    <n v="3"/>
    <n v="1"/>
  </r>
  <r>
    <s v="0188"/>
    <x v="66"/>
    <x v="6"/>
    <x v="0"/>
    <x v="35"/>
    <s v="DANIEL PINTO"/>
    <x v="0"/>
    <s v="GGV"/>
    <x v="1"/>
    <s v="Baja"/>
    <d v="2015-08-26T00:00:00"/>
    <d v="2015-08-04T00:00:00"/>
    <n v="1"/>
    <x v="0"/>
    <n v="19"/>
    <n v="3"/>
    <n v="1"/>
  </r>
  <r>
    <s v="0187"/>
    <x v="67"/>
    <x v="3"/>
    <x v="0"/>
    <x v="5"/>
    <s v="Ing. Reynaldo Paniagua Salinas"/>
    <x v="0"/>
    <s v="GGV"/>
    <x v="1"/>
    <n v="735"/>
    <d v="2015-08-04T00:00:00"/>
    <d v="2015-08-04T00:00:00"/>
    <n v="1"/>
    <x v="0"/>
    <n v="4"/>
    <n v="4"/>
    <n v="1"/>
  </r>
  <r>
    <s v="0186"/>
    <x v="67"/>
    <x v="4"/>
    <x v="0"/>
    <x v="5"/>
    <s v="Ing. Reynaldo Paniagua Salinas"/>
    <x v="0"/>
    <s v="GGV"/>
    <x v="1"/>
    <n v="734"/>
    <d v="2015-08-04T00:00:00"/>
    <d v="2015-08-04T00:00:00"/>
    <n v="1"/>
    <x v="0"/>
    <n v="4"/>
    <n v="4"/>
    <n v="1"/>
  </r>
  <r>
    <s v="0185"/>
    <x v="68"/>
    <x v="33"/>
    <x v="0"/>
    <x v="1"/>
    <s v="Ing. Marcial Sandoval Becerra"/>
    <x v="15"/>
    <s v="ICM"/>
    <x v="1"/>
    <s v="Baja"/>
    <d v="2015-08-31T00:00:00"/>
    <d v="2015-07-29T00:00:00"/>
    <n v="1"/>
    <x v="0"/>
    <n v="25"/>
    <n v="2"/>
    <n v="1"/>
  </r>
  <r>
    <s v="0184"/>
    <x v="68"/>
    <x v="19"/>
    <x v="0"/>
    <x v="38"/>
    <s v="ING. ARISTIDES CANO TRANI"/>
    <x v="10"/>
    <s v="ICM"/>
    <x v="1"/>
    <n v="727"/>
    <d v="2015-08-13T00:00:00"/>
    <d v="2015-07-30T00:00:00"/>
    <n v="1"/>
    <x v="0"/>
    <n v="13"/>
    <n v="3"/>
    <n v="1"/>
  </r>
  <r>
    <s v="0183"/>
    <x v="69"/>
    <x v="1"/>
    <x v="0"/>
    <x v="1"/>
    <s v="ING. Marcial Sandoval Becerra"/>
    <x v="0"/>
    <s v="ICM"/>
    <x v="1"/>
    <s v="Baja"/>
    <d v="2015-08-31T00:00:00"/>
    <d v="2015-07-29T00:00:00"/>
    <n v="1"/>
    <x v="0"/>
    <n v="26"/>
    <n v="3"/>
    <n v="1"/>
  </r>
  <r>
    <s v="0182"/>
    <x v="69"/>
    <x v="33"/>
    <x v="0"/>
    <x v="1"/>
    <s v="ING. Marcial Sandoval Becerra"/>
    <x v="15"/>
    <s v="ICM"/>
    <x v="1"/>
    <s v="BAJA-DN-182-2015.pdf"/>
    <d v="2015-08-31T00:00:00"/>
    <d v="2015-07-29T00:00:00"/>
    <n v="1"/>
    <x v="0"/>
    <n v="26"/>
    <n v="3"/>
    <n v="1"/>
  </r>
  <r>
    <s v="0181"/>
    <x v="70"/>
    <x v="34"/>
    <x v="0"/>
    <x v="39"/>
    <s v="ING. DANIEL FLORES ILLESCAS"/>
    <x v="4"/>
    <s v="ICM"/>
    <x v="1"/>
    <n v="745"/>
    <d v="2015-08-21T00:00:00"/>
    <d v="2015-07-28T00:00:00"/>
    <n v="1"/>
    <x v="0"/>
    <n v="22"/>
    <n v="4"/>
    <n v="1"/>
  </r>
  <r>
    <s v="0180"/>
    <x v="71"/>
    <x v="3"/>
    <x v="0"/>
    <x v="3"/>
    <s v="ING. ARTURO AGUILERA ALVARADO"/>
    <x v="0"/>
    <s v="ICM"/>
    <x v="1"/>
    <n v="698"/>
    <d v="2015-08-03T00:00:00"/>
    <d v="2015-07-28T00:00:00"/>
    <n v="2"/>
    <x v="0"/>
    <n v="9"/>
    <n v="5"/>
    <n v="1"/>
  </r>
  <r>
    <s v="0179"/>
    <x v="71"/>
    <x v="15"/>
    <x v="0"/>
    <x v="3"/>
    <s v="ING. ARTURO AGUILERA ALVARADO"/>
    <x v="0"/>
    <s v="ICM"/>
    <x v="1"/>
    <n v="697"/>
    <d v="2015-08-03T00:00:00"/>
    <d v="2015-07-28T00:00:00"/>
    <n v="4"/>
    <x v="0"/>
    <n v="9"/>
    <n v="5"/>
    <n v="1"/>
  </r>
  <r>
    <s v="0178"/>
    <x v="72"/>
    <x v="10"/>
    <x v="0"/>
    <x v="22"/>
    <s v="MARCO ANTONIO FUENTES"/>
    <x v="4"/>
    <s v="GGV"/>
    <x v="1"/>
    <n v="714"/>
    <d v="2015-08-07T00:00:00"/>
    <d v="2015-07-24T00:00:00"/>
    <n v="2"/>
    <x v="0"/>
    <n v="14"/>
    <n v="4"/>
    <n v="1"/>
  </r>
  <r>
    <s v="0177"/>
    <x v="72"/>
    <x v="12"/>
    <x v="0"/>
    <x v="6"/>
    <s v="ING. HUMBERTO GONZÁLEZ JUÁREZ"/>
    <x v="6"/>
    <s v="ICM"/>
    <x v="1"/>
    <s v="Baja"/>
    <d v="2015-07-21T00:00:00"/>
    <d v="2015-07-27T00:00:00"/>
    <n v="1"/>
    <x v="0"/>
    <n v="1"/>
    <n v="5"/>
    <n v="1"/>
  </r>
  <r>
    <s v="0176"/>
    <x v="72"/>
    <x v="35"/>
    <x v="0"/>
    <x v="40"/>
    <s v="LIC. IVONNE GUTIÉRREZ OBREGÓN"/>
    <x v="16"/>
    <s v="ICM"/>
    <x v="1"/>
    <n v="706"/>
    <d v="2015-07-23T00:00:00"/>
    <d v="2015-07-22T00:00:00"/>
    <n v="1"/>
    <x v="0"/>
    <n v="3"/>
    <n v="2"/>
    <n v="1"/>
  </r>
  <r>
    <s v="0175"/>
    <x v="73"/>
    <x v="11"/>
    <x v="0"/>
    <x v="38"/>
    <s v="ING. ARÍSTIDES CANO TRANI"/>
    <x v="5"/>
    <s v="ICM"/>
    <x v="1"/>
    <n v="707"/>
    <d v="2015-07-23T00:00:00"/>
    <d v="2015-07-22T00:00:00"/>
    <n v="1"/>
    <x v="0"/>
    <s v="=IF(RC[-4]=0,0,(NETWORKDAYS(RC[-13],RC[-4])))"/>
    <n v="3"/>
    <n v="1"/>
  </r>
  <r>
    <s v="0174"/>
    <x v="74"/>
    <x v="3"/>
    <x v="0"/>
    <x v="4"/>
    <s v="ING. NANCY RAMÍREZ"/>
    <x v="0"/>
    <s v="ICM"/>
    <x v="1"/>
    <s v="Baja"/>
    <d v="2015-08-17T00:00:00"/>
    <d v="2015-07-23T00:00:00"/>
    <n v="1"/>
    <x v="0"/>
    <n v="22"/>
    <n v="5"/>
    <n v="1"/>
  </r>
  <r>
    <s v="0173"/>
    <x v="75"/>
    <x v="21"/>
    <x v="0"/>
    <x v="41"/>
    <s v="LUIS ROBERTO MÁRQUEZ RAMÍREZ"/>
    <x v="11"/>
    <s v="ICM"/>
    <x v="1"/>
    <s v="Baja"/>
    <d v="2015-07-27T00:00:00"/>
    <d v="2015-07-22T00:00:00"/>
    <n v="1"/>
    <x v="0"/>
    <n v="8"/>
    <n v="5"/>
    <n v="1"/>
  </r>
  <r>
    <s v="0172"/>
    <x v="75"/>
    <x v="35"/>
    <x v="0"/>
    <x v="6"/>
    <s v="ING. EDGAR RENÉ MENDOZA RIVAS"/>
    <x v="16"/>
    <s v="CVJ"/>
    <x v="1"/>
    <n v="684"/>
    <d v="2015-07-17T00:00:00"/>
    <d v="2015-07-17T00:00:00"/>
    <n v="1"/>
    <x v="0"/>
    <n v="2"/>
    <n v="2"/>
    <n v="1"/>
  </r>
  <r>
    <s v="0171"/>
    <x v="76"/>
    <x v="36"/>
    <x v="0"/>
    <x v="42"/>
    <s v="ING. MOISES CASTRO SALINAS"/>
    <x v="7"/>
    <s v="ICM"/>
    <x v="1"/>
    <n v="720"/>
    <d v="2015-08-11T00:00:00"/>
    <d v="2015-07-21T00:00:00"/>
    <n v="1"/>
    <x v="0"/>
    <n v="20"/>
    <n v="5"/>
    <n v="1"/>
  </r>
  <r>
    <s v="0170"/>
    <x v="77"/>
    <x v="9"/>
    <x v="1"/>
    <x v="16"/>
    <s v="ING. ALFREDO DIONICIO BARRON"/>
    <x v="0"/>
    <s v="CVJ"/>
    <x v="1"/>
    <n v="696"/>
    <d v="2015-08-03T00:00:00"/>
    <d v="2015-07-15T00:00:00"/>
    <n v="1"/>
    <x v="0"/>
    <n v="15"/>
    <n v="2"/>
    <n v="1"/>
  </r>
  <r>
    <s v="0169"/>
    <x v="78"/>
    <x v="31"/>
    <x v="2"/>
    <x v="36"/>
    <s v="ING. MARIO MAURICIO ROJAS ESCÁRREGA"/>
    <x v="11"/>
    <s v="GGV"/>
    <x v="1"/>
    <n v="704"/>
    <d v="2015-07-23T00:00:00"/>
    <d v="2015-07-14T00:00:00"/>
    <n v="1"/>
    <x v="1"/>
    <n v="10"/>
    <n v="3"/>
    <n v="1"/>
  </r>
  <r>
    <s v="0168"/>
    <x v="79"/>
    <x v="9"/>
    <x v="1"/>
    <x v="16"/>
    <s v="ING. DIONICIO BARRÓN"/>
    <x v="0"/>
    <s v="CVJ"/>
    <x v="1"/>
    <n v="701"/>
    <d v="2015-08-03T00:00:00"/>
    <d v="2015-07-15T00:00:00"/>
    <n v="1"/>
    <x v="0"/>
    <s v="=IF(RC[-4]=0,0,(NETWORKDAYS(RC[-13],RC[-4])))"/>
    <n v="5"/>
    <n v="1"/>
  </r>
  <r>
    <s v="0167"/>
    <x v="79"/>
    <x v="21"/>
    <x v="0"/>
    <x v="36"/>
    <s v="ING. MARIO MAURICIO ROJAS ESCÁRREGA"/>
    <x v="11"/>
    <s v="GGV"/>
    <x v="1"/>
    <s v="Baja"/>
    <d v="2015-07-31T00:00:00"/>
    <d v="2015-07-14T00:00:00"/>
    <n v="1"/>
    <x v="0"/>
    <s v="=IF(RC[-4]=0,0,(NETWORKDAYS(RC[-13],RC[-4])))"/>
    <n v="4"/>
    <n v="1"/>
  </r>
  <r>
    <s v="0166"/>
    <x v="80"/>
    <x v="34"/>
    <x v="0"/>
    <x v="22"/>
    <s v="ING. BERNARDO ZEVADA P."/>
    <x v="4"/>
    <s v="GGV"/>
    <x v="1"/>
    <n v="703"/>
    <d v="2015-07-23T00:00:00"/>
    <d v="2015-07-09T00:00:00"/>
    <n v="1"/>
    <x v="0"/>
    <s v="=IF(RC[-4]=0,0,(NETWORKDAYS(RC[-13],RC[-4])))"/>
    <n v="2"/>
    <n v="1"/>
  </r>
  <r>
    <s v="0165"/>
    <x v="81"/>
    <x v="34"/>
    <x v="0"/>
    <x v="39"/>
    <s v="ING. DANIEL FLORES ILLESCAS"/>
    <x v="4"/>
    <s v="ICM"/>
    <x v="1"/>
    <s v="Baja"/>
    <d v="2015-07-15T00:00:00"/>
    <d v="2015-07-10T00:00:00"/>
    <n v="1"/>
    <x v="0"/>
    <n v="7"/>
    <n v="4"/>
    <n v="1"/>
  </r>
  <r>
    <s v="0164"/>
    <x v="82"/>
    <x v="22"/>
    <x v="0"/>
    <x v="31"/>
    <s v="DANIEL VARGAS HERNÁNDEZ"/>
    <x v="0"/>
    <s v="CVJ"/>
    <x v="1"/>
    <n v="664"/>
    <d v="2015-07-03T00:00:00"/>
    <d v="2015-07-03T00:00:00"/>
    <n v="1"/>
    <x v="0"/>
    <s v="=IF(RC[-4]=0,0,(NETWORKDAYS(RC[-13],RC[-4])))"/>
    <n v="1"/>
    <n v="1"/>
  </r>
  <r>
    <s v="0163"/>
    <x v="83"/>
    <x v="19"/>
    <x v="0"/>
    <x v="6"/>
    <s v="ING. LUIS ENRIQUE GARCIA GRACIANO"/>
    <x v="10"/>
    <s v="CVJ"/>
    <x v="1"/>
    <n v="662"/>
    <d v="2015-07-06T00:00:00"/>
    <d v="2015-07-02T00:00:00"/>
    <n v="1"/>
    <x v="0"/>
    <n v="4"/>
    <n v="2"/>
    <n v="1"/>
  </r>
  <r>
    <s v="0162"/>
    <x v="83"/>
    <x v="35"/>
    <x v="0"/>
    <x v="43"/>
    <s v="ING. MIGUEL ANGEL HERNÁNDEZ ZAVALA"/>
    <x v="16"/>
    <s v="GGV"/>
    <x v="1"/>
    <s v="Baja"/>
    <d v="2015-07-03T00:00:00"/>
    <d v="2015-07-03T00:00:00"/>
    <n v="1"/>
    <x v="0"/>
    <n v="3"/>
    <n v="3"/>
    <n v="1"/>
  </r>
  <r>
    <s v="0161"/>
    <x v="84"/>
    <x v="18"/>
    <x v="1"/>
    <x v="16"/>
    <s v="ING. ALFREDO DIONISIO BARRON"/>
    <x v="9"/>
    <s v="CVJ"/>
    <x v="1"/>
    <n v="660"/>
    <d v="2015-07-02T00:00:00"/>
    <d v="2015-07-02T00:00:00"/>
    <n v="1"/>
    <x v="0"/>
    <n v="3"/>
    <n v="3"/>
    <n v="1"/>
  </r>
  <r>
    <s v="0160"/>
    <x v="85"/>
    <x v="9"/>
    <x v="1"/>
    <x v="16"/>
    <s v="ING. ALFREDO DIONISIO BARRON"/>
    <x v="0"/>
    <s v="CVJ"/>
    <x v="1"/>
    <n v="660"/>
    <d v="2015-07-02T00:00:00"/>
    <d v="2015-06-25T00:00:00"/>
    <n v="1"/>
    <x v="0"/>
    <n v="6"/>
    <n v="1"/>
    <n v="1"/>
  </r>
  <r>
    <s v="0159"/>
    <x v="85"/>
    <x v="9"/>
    <x v="1"/>
    <x v="16"/>
    <s v="ING. ALFREDO DIONISIO BARRON"/>
    <x v="0"/>
    <s v="CVJ"/>
    <x v="1"/>
    <n v="660"/>
    <d v="2015-07-02T00:00:00"/>
    <d v="2015-07-02T00:00:00"/>
    <n v="1"/>
    <x v="0"/>
    <n v="6"/>
    <n v="6"/>
    <n v="1"/>
  </r>
  <r>
    <s v="0158"/>
    <x v="85"/>
    <x v="9"/>
    <x v="1"/>
    <x v="16"/>
    <s v="ING. ALFREDO DIONISIO BARRON"/>
    <x v="0"/>
    <s v="CVJ"/>
    <x v="1"/>
    <n v="660"/>
    <d v="2015-07-02T00:00:00"/>
    <d v="2015-07-02T00:00:00"/>
    <n v="1"/>
    <x v="0"/>
    <n v="6"/>
    <n v="6"/>
    <n v="1"/>
  </r>
  <r>
    <s v="0157"/>
    <x v="86"/>
    <x v="34"/>
    <x v="1"/>
    <x v="22"/>
    <s v="MARCO ANTONIO FUENTES"/>
    <x v="4"/>
    <s v="GGV"/>
    <x v="1"/>
    <n v="663"/>
    <d v="2015-07-03T00:00:00"/>
    <d v="2015-06-23T00:00:00"/>
    <n v="1"/>
    <x v="0"/>
    <n v="9"/>
    <n v="1"/>
    <n v="1"/>
  </r>
  <r>
    <s v="0156"/>
    <x v="87"/>
    <x v="3"/>
    <x v="2"/>
    <x v="3"/>
    <s v="ING. ARTURO AGUILERA ALVARADO"/>
    <x v="0"/>
    <s v="ICM"/>
    <x v="1"/>
    <n v="672"/>
    <d v="2015-07-06T00:00:00"/>
    <d v="2015-06-29T00:00:00"/>
    <n v="5"/>
    <x v="0"/>
    <n v="12"/>
    <n v="7"/>
    <n v="1"/>
  </r>
  <r>
    <s v="0155"/>
    <x v="87"/>
    <x v="15"/>
    <x v="0"/>
    <x v="3"/>
    <s v="ING. ARTURO AGUILERA ALVARADO"/>
    <x v="0"/>
    <s v="ICM"/>
    <x v="1"/>
    <n v="671"/>
    <d v="2015-07-06T00:00:00"/>
    <d v="2015-06-29T00:00:00"/>
    <n v="2"/>
    <x v="0"/>
    <n v="12"/>
    <n v="7"/>
    <n v="1"/>
  </r>
  <r>
    <s v="0154"/>
    <x v="88"/>
    <x v="37"/>
    <x v="0"/>
    <x v="44"/>
    <s v="ING. GERARDO GONZALEZ BALDERAS"/>
    <x v="9"/>
    <s v="CVJ"/>
    <x v="1"/>
    <s v="BAJA-DN-0154-2015.pdf"/>
    <d v="2015-07-14T00:00:00"/>
    <d v="2015-06-23T00:00:00"/>
    <n v="2"/>
    <x v="0"/>
    <s v="=IF(RC[-4]=0,0,(NETWORKDAYS(RC[-13],RC[-4])))"/>
    <n v="4"/>
    <n v="1"/>
  </r>
  <r>
    <s v="0153"/>
    <x v="89"/>
    <x v="14"/>
    <x v="0"/>
    <x v="20"/>
    <s v="ING. CLAUDIO TORRES NAVA"/>
    <x v="8"/>
    <s v="ICM"/>
    <x v="1"/>
    <n v="648"/>
    <d v="2015-06-29T00:00:00"/>
    <d v="2015-06-22T00:00:00"/>
    <n v="1"/>
    <x v="0"/>
    <s v="=IF(RC[-4]=0,0,(NETWORKDAYS(RC[-13],RC[-4])))"/>
    <n v="4"/>
    <n v="1"/>
  </r>
  <r>
    <s v="0152"/>
    <x v="90"/>
    <x v="34"/>
    <x v="3"/>
    <x v="22"/>
    <s v="MARCO ANTONIO FUENTES"/>
    <x v="4"/>
    <s v="GGV"/>
    <x v="1"/>
    <s v="baja no se ven los planos"/>
    <d v="2015-06-23T00:00:00"/>
    <d v="2015-06-23T00:00:00"/>
    <n v="1"/>
    <x v="0"/>
    <s v="=IF(RC[-4]=0,0,(NETWORKDAYS(RC[-13],RC[-4])))"/>
    <n v="6"/>
    <n v="1"/>
  </r>
  <r>
    <s v="0151"/>
    <x v="91"/>
    <x v="19"/>
    <x v="0"/>
    <x v="2"/>
    <s v="ING. JOSÉ AURELIO GÁMEZ MORGADO"/>
    <x v="10"/>
    <s v="CVJ"/>
    <x v="1"/>
    <n v="640"/>
    <d v="2015-06-19T00:00:00"/>
    <d v="2015-06-19T00:00:00"/>
    <n v="1"/>
    <x v="0"/>
    <s v="=IF(RC[-4]=0,0,(NETWORKDAYS(RC[-13],RC[-4])))"/>
    <n v="5"/>
    <n v="1"/>
  </r>
  <r>
    <s v="0150"/>
    <x v="91"/>
    <x v="22"/>
    <x v="0"/>
    <x v="45"/>
    <s v="ING. RUBÉN CISNEROS RODRÍGUEZ "/>
    <x v="0"/>
    <s v="ICM"/>
    <x v="1"/>
    <s v="Baja"/>
    <d v="2015-07-15T00:00:00"/>
    <d v="2015-06-19T00:00:00"/>
    <n v="1"/>
    <x v="0"/>
    <n v="23"/>
    <n v="5"/>
    <n v="1"/>
  </r>
  <r>
    <s v="0149"/>
    <x v="92"/>
    <x v="11"/>
    <x v="0"/>
    <x v="38"/>
    <s v="ING. ARÍSTIDES CANO TRANI"/>
    <x v="5"/>
    <s v="CVJ"/>
    <x v="1"/>
    <s v="baja"/>
    <d v="2015-07-15T00:00:00"/>
    <d v="2015-06-19T00:00:00"/>
    <n v="1"/>
    <x v="0"/>
    <n v="24"/>
    <n v="6"/>
    <n v="1"/>
  </r>
  <r>
    <s v="0148"/>
    <x v="92"/>
    <x v="38"/>
    <x v="0"/>
    <x v="38"/>
    <s v="ING. ARÍSTIDES CANO TRANI"/>
    <x v="4"/>
    <s v="CVJ"/>
    <x v="1"/>
    <n v="659"/>
    <d v="2015-06-29T00:00:00"/>
    <d v="2015-06-19T00:00:00"/>
    <n v="1"/>
    <x v="0"/>
    <n v="12"/>
    <n v="6"/>
    <n v="1"/>
  </r>
  <r>
    <s v="0147"/>
    <x v="93"/>
    <x v="39"/>
    <x v="0"/>
    <x v="2"/>
    <s v="ING. JOSÉ LUIS PERALTA JIMENEZ"/>
    <x v="16"/>
    <s v="CVJ"/>
    <x v="1"/>
    <n v="646"/>
    <d v="2015-06-23T00:00:00"/>
    <d v="2015-06-22T00:00:00"/>
    <n v="1"/>
    <x v="0"/>
    <n v="12"/>
    <n v="11"/>
    <n v="1"/>
  </r>
  <r>
    <s v="0146"/>
    <x v="93"/>
    <x v="40"/>
    <x v="0"/>
    <x v="2"/>
    <s v="ING. JOSÉ LUIS PERALTA JIMENEZ"/>
    <x v="16"/>
    <s v="CVJ"/>
    <x v="1"/>
    <n v="642"/>
    <d v="2015-06-22T00:00:00"/>
    <d v="2015-06-22T00:00:00"/>
    <n v="1"/>
    <x v="0"/>
    <n v="11"/>
    <n v="11"/>
    <n v="1"/>
  </r>
  <r>
    <s v="0144"/>
    <x v="93"/>
    <x v="21"/>
    <x v="0"/>
    <x v="36"/>
    <s v="ING. JESÚS NUÑO RUÍZ"/>
    <x v="11"/>
    <s v="GGV"/>
    <x v="1"/>
    <s v="Baja"/>
    <d v="2015-06-22T00:00:00"/>
    <d v="2015-06-22T00:00:00"/>
    <n v="1"/>
    <x v="0"/>
    <n v="11"/>
    <n v="11"/>
    <n v="1"/>
  </r>
  <r>
    <s v="0143"/>
    <x v="94"/>
    <x v="6"/>
    <x v="0"/>
    <x v="12"/>
    <s v="ING. PAULO CÉSAR TORRES PÉREZ"/>
    <x v="0"/>
    <s v="CVJ"/>
    <x v="1"/>
    <n v="614"/>
    <d v="2015-06-08T00:00:00"/>
    <d v="2015-06-08T00:00:00"/>
    <n v="1"/>
    <x v="0"/>
    <n v="3"/>
    <n v="3"/>
    <n v="1"/>
  </r>
  <r>
    <s v="0142"/>
    <x v="95"/>
    <x v="41"/>
    <x v="0"/>
    <x v="46"/>
    <s v="ING. MOISES CASTRO SALINAS"/>
    <x v="7"/>
    <s v="CVJ"/>
    <x v="1"/>
    <n v="626"/>
    <d v="2015-06-10T00:00:00"/>
    <d v="2015-06-10T00:00:00"/>
    <n v="1"/>
    <x v="0"/>
    <n v="7"/>
    <n v="7"/>
    <n v="1"/>
  </r>
  <r>
    <s v="0141"/>
    <x v="95"/>
    <x v="6"/>
    <x v="0"/>
    <x v="0"/>
    <s v="ING. GERARDO FERNANDO SOLIS SALAZAR"/>
    <x v="0"/>
    <s v="CVJ"/>
    <x v="1"/>
    <n v="628"/>
    <d v="2015-06-12T00:00:00"/>
    <d v="2015-06-12T00:00:00"/>
    <n v="1"/>
    <x v="0"/>
    <n v="9"/>
    <n v="9"/>
    <n v="1"/>
  </r>
  <r>
    <s v="0140"/>
    <x v="96"/>
    <x v="5"/>
    <x v="0"/>
    <x v="19"/>
    <s v="ALFONSO MONTES GALLEGOS"/>
    <x v="0"/>
    <s v="GGV"/>
    <x v="1"/>
    <n v="645"/>
    <d v="2015-06-24T00:00:00"/>
    <d v="2015-06-01T00:00:00"/>
    <n v="1"/>
    <x v="0"/>
    <s v="=IF(RC[-4]=0,0,(NETWORKDAYS(RC[-13],RC[-4])))"/>
    <n v="1"/>
    <n v="1"/>
  </r>
  <r>
    <s v="0139"/>
    <x v="96"/>
    <x v="3"/>
    <x v="0"/>
    <x v="35"/>
    <s v="DANIEL PINTO DAVALOS"/>
    <x v="0"/>
    <s v="GGV"/>
    <x v="1"/>
    <n v="627"/>
    <d v="2015-06-10T00:00:00"/>
    <d v="2015-06-10T00:00:00"/>
    <n v="1"/>
    <x v="0"/>
    <n v="8"/>
    <n v="8"/>
    <n v="1"/>
  </r>
  <r>
    <s v="0138"/>
    <x v="97"/>
    <x v="42"/>
    <x v="0"/>
    <x v="46"/>
    <s v="ING. MOISES CASTRO SALINAS"/>
    <x v="7"/>
    <s v="CVJ"/>
    <x v="1"/>
    <s v="baja"/>
    <d v="2015-05-29T00:00:00"/>
    <d v="2015-05-29T00:00:00"/>
    <n v="1"/>
    <x v="0"/>
    <n v="1"/>
    <n v="1"/>
    <n v="1"/>
  </r>
  <r>
    <s v="0137"/>
    <x v="97"/>
    <x v="13"/>
    <x v="0"/>
    <x v="46"/>
    <s v="ING. MOISES CASTRO SALINAS"/>
    <x v="7"/>
    <s v="CVJ"/>
    <x v="1"/>
    <n v="625"/>
    <d v="2015-06-10T00:00:00"/>
    <d v="2015-06-10T00:00:00"/>
    <n v="1"/>
    <x v="0"/>
    <n v="9"/>
    <n v="9"/>
    <n v="1"/>
  </r>
  <r>
    <s v="0136"/>
    <x v="98"/>
    <x v="18"/>
    <x v="0"/>
    <x v="9"/>
    <s v="M. EN C. UBALDO MENDOZA MEJÍA"/>
    <x v="9"/>
    <s v="CVJ"/>
    <x v="1"/>
    <n v="603"/>
    <d v="2015-06-02T00:00:00"/>
    <d v="2015-05-29T00:00:00"/>
    <n v="1"/>
    <x v="0"/>
    <n v="4"/>
    <n v="2"/>
    <n v="1"/>
  </r>
  <r>
    <s v="0135"/>
    <x v="98"/>
    <x v="28"/>
    <x v="0"/>
    <x v="9"/>
    <s v="M. EN C. UBALDO MENDOZA MEJÍA"/>
    <x v="15"/>
    <s v="CVJ"/>
    <x v="1"/>
    <n v="600"/>
    <d v="2015-05-29T00:00:00"/>
    <d v="2015-05-29T00:00:00"/>
    <n v="1"/>
    <x v="0"/>
    <s v="=IF(RC[-4]=0,0,(NETWORKDAYS(RC[-13],RC[-4])))"/>
    <n v="2"/>
    <n v="1"/>
  </r>
  <r>
    <s v="0134"/>
    <x v="98"/>
    <x v="22"/>
    <x v="0"/>
    <x v="31"/>
    <s v="DANIEL VARGAS HERNANDEZ"/>
    <x v="0"/>
    <s v="GGV"/>
    <x v="1"/>
    <n v="599"/>
    <d v="2015-06-02T00:00:00"/>
    <d v="2015-06-02T00:00:00"/>
    <n v="1"/>
    <x v="0"/>
    <s v="=IF(RC[-4]=0,0,(NETWORKDAYS(RC[-13],RC[-4])))"/>
    <n v="4"/>
    <n v="1"/>
  </r>
  <r>
    <s v="0133"/>
    <x v="99"/>
    <x v="6"/>
    <x v="0"/>
    <x v="12"/>
    <s v="ING. PAULO CÉSAR TORRES PÉREZ"/>
    <x v="0"/>
    <s v="CVJ"/>
    <x v="1"/>
    <n v="604"/>
    <d v="2015-06-02T00:00:00"/>
    <d v="2015-05-29T00:00:00"/>
    <n v="1"/>
    <x v="0"/>
    <n v="5"/>
    <n v="3"/>
    <n v="1"/>
  </r>
  <r>
    <s v="0132"/>
    <x v="100"/>
    <x v="3"/>
    <x v="0"/>
    <x v="13"/>
    <s v="ING. MARIO  ALBERTO BAZAN MONTAÑEZ"/>
    <x v="0"/>
    <s v="CVJ"/>
    <x v="1"/>
    <n v="592"/>
    <d v="2015-05-27T00:00:00"/>
    <d v="2015-05-27T00:00:00"/>
    <n v="1"/>
    <x v="0"/>
    <s v="=IF(RC[-4]=0,0,(NETWORKDAYS(RC[-13],RC[-4])))"/>
    <n v="2"/>
    <n v="1"/>
  </r>
  <r>
    <s v="0131"/>
    <x v="101"/>
    <x v="3"/>
    <x v="0"/>
    <x v="35"/>
    <s v="DANIEL PINTO DAVALOS"/>
    <x v="0"/>
    <s v="GGV"/>
    <x v="1"/>
    <n v="605"/>
    <d v="2015-06-02T00:00:00"/>
    <d v="2015-06-02T00:00:00"/>
    <n v="1"/>
    <x v="0"/>
    <n v="8"/>
    <n v="8"/>
    <n v="1"/>
  </r>
  <r>
    <s v="0130"/>
    <x v="101"/>
    <x v="35"/>
    <x v="0"/>
    <x v="47"/>
    <s v="ING. JORGE ANTONIO ESTRADA RAMÍREZ"/>
    <x v="16"/>
    <s v="ICM"/>
    <x v="1"/>
    <n v="624"/>
    <d v="2015-05-27T00:00:00"/>
    <d v="2015-05-27T00:00:00"/>
    <n v="1"/>
    <x v="0"/>
    <n v="4"/>
    <n v="4"/>
    <n v="1"/>
  </r>
  <r>
    <s v="0129"/>
    <x v="102"/>
    <x v="28"/>
    <x v="0"/>
    <x v="9"/>
    <s v="M. EN C. UBALDO MENDOZA MEJÍA"/>
    <x v="15"/>
    <s v="CVJ"/>
    <x v="1"/>
    <n v="570"/>
    <d v="2015-05-18T00:00:00"/>
    <d v="2015-05-18T00:00:00"/>
    <n v="1"/>
    <x v="0"/>
    <n v="4"/>
    <n v="4"/>
    <n v="1"/>
  </r>
  <r>
    <s v="0128"/>
    <x v="102"/>
    <x v="28"/>
    <x v="0"/>
    <x v="9"/>
    <s v="M. EN C. UBALDO MENDOZA MEJÍA"/>
    <x v="15"/>
    <s v="CVJ"/>
    <x v="1"/>
    <n v="569"/>
    <d v="2015-05-18T00:00:00"/>
    <d v="2015-05-18T00:00:00"/>
    <n v="1"/>
    <x v="0"/>
    <n v="4"/>
    <n v="4"/>
    <n v="1"/>
  </r>
  <r>
    <s v="0127"/>
    <x v="102"/>
    <x v="21"/>
    <x v="0"/>
    <x v="36"/>
    <s v="ING. JESÚS NUÑO RUÍZ"/>
    <x v="11"/>
    <s v="CVJ"/>
    <x v="1"/>
    <s v="Baja"/>
    <d v="2015-05-22T00:00:00"/>
    <d v="2015-05-22T00:00:00"/>
    <n v="1"/>
    <x v="0"/>
    <n v="8"/>
    <n v="8"/>
    <n v="1"/>
  </r>
  <r>
    <s v="0126"/>
    <x v="103"/>
    <x v="40"/>
    <x v="0"/>
    <x v="6"/>
    <s v="ING. EDGAR RENÉ MENDOZA RIVAS"/>
    <x v="16"/>
    <s v="CVJ"/>
    <x v="1"/>
    <n v="560"/>
    <d v="2015-05-13T00:00:00"/>
    <d v="2015-05-13T00:00:00"/>
    <n v="1"/>
    <x v="0"/>
    <n v="3"/>
    <n v="3"/>
    <n v="1"/>
  </r>
  <r>
    <s v="0125"/>
    <x v="104"/>
    <x v="41"/>
    <x v="0"/>
    <x v="48"/>
    <s v="L. A. MARCO ANTONIO FRIAS NIETO"/>
    <x v="7"/>
    <s v="GGV"/>
    <x v="1"/>
    <n v="606"/>
    <d v="2015-06-02T00:00:00"/>
    <d v="2015-05-15T00:00:00"/>
    <n v="1"/>
    <x v="0"/>
    <n v="18"/>
    <n v="6"/>
    <n v="1"/>
  </r>
  <r>
    <s v="0124"/>
    <x v="105"/>
    <x v="5"/>
    <x v="0"/>
    <x v="9"/>
    <s v="M. EN C. UBALDO MENDOZA MEJÍA"/>
    <x v="0"/>
    <s v="CVJ"/>
    <x v="1"/>
    <n v="555"/>
    <d v="2015-05-13T00:00:00"/>
    <d v="2015-05-11T00:00:00"/>
    <n v="1"/>
    <x v="0"/>
    <n v="5"/>
    <n v="3"/>
    <n v="1"/>
  </r>
  <r>
    <s v="0123"/>
    <x v="105"/>
    <x v="5"/>
    <x v="0"/>
    <x v="9"/>
    <s v="M. EN C. UBALDO MENDOZA MEJÍA"/>
    <x v="0"/>
    <s v="CVJ"/>
    <x v="1"/>
    <n v="554"/>
    <d v="2015-05-13T00:00:00"/>
    <d v="2015-05-11T00:00:00"/>
    <n v="1"/>
    <x v="0"/>
    <n v="5"/>
    <n v="3"/>
    <n v="1"/>
  </r>
  <r>
    <s v="0122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21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20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19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18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17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16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15"/>
    <x v="105"/>
    <x v="3"/>
    <x v="0"/>
    <x v="3"/>
    <s v="ING. ARTURO AGUILERA ALVARADO"/>
    <x v="0"/>
    <s v="ICM"/>
    <x v="1"/>
    <n v="562"/>
    <d v="2015-05-13T00:00:00"/>
    <d v="2015-05-12T00:00:00"/>
    <n v="1"/>
    <x v="0"/>
    <n v="5"/>
    <n v="4"/>
    <n v="1"/>
  </r>
  <r>
    <s v="0114"/>
    <x v="106"/>
    <x v="12"/>
    <x v="0"/>
    <x v="27"/>
    <s v="ING. ESAD AVDIC KUSTURICA"/>
    <x v="6"/>
    <s v="CVJ"/>
    <x v="1"/>
    <n v="561"/>
    <d v="2015-05-12T00:00:00"/>
    <d v="2015-05-12T00:00:00"/>
    <n v="1"/>
    <x v="0"/>
    <n v="5"/>
    <n v="5"/>
    <n v="1"/>
  </r>
  <r>
    <s v="0113"/>
    <x v="106"/>
    <x v="30"/>
    <x v="0"/>
    <x v="27"/>
    <s v="ING. JAIME BENJAMÍN YEVERINO ROMERO"/>
    <x v="8"/>
    <s v="CVJ"/>
    <x v="1"/>
    <n v="566"/>
    <d v="2015-05-18T00:00:00"/>
    <d v="2015-05-14T00:00:00"/>
    <n v="1"/>
    <x v="0"/>
    <n v="9"/>
    <n v="7"/>
    <n v="1"/>
  </r>
  <r>
    <s v="0112"/>
    <x v="106"/>
    <x v="35"/>
    <x v="0"/>
    <x v="47"/>
    <s v="ING. JORGE ANTONIO ESTRADA RAMÍREZ"/>
    <x v="16"/>
    <s v="ICM"/>
    <x v="1"/>
    <n v="563"/>
    <d v="2015-05-13T00:00:00"/>
    <d v="2015-05-11T00:00:00"/>
    <n v="1"/>
    <x v="0"/>
    <n v="6"/>
    <n v="4"/>
    <n v="1"/>
  </r>
  <r>
    <s v="0111"/>
    <x v="107"/>
    <x v="3"/>
    <x v="0"/>
    <x v="11"/>
    <s v="ING.MARIO M. ROJAS ESCARREGA"/>
    <x v="0"/>
    <s v="GGV"/>
    <x v="1"/>
    <n v="571"/>
    <d v="2015-05-18T00:00:00"/>
    <d v="2015-05-18T00:00:00"/>
    <n v="1"/>
    <x v="0"/>
    <n v="10"/>
    <n v="10"/>
    <n v="1"/>
  </r>
  <r>
    <s v="0110"/>
    <x v="108"/>
    <x v="31"/>
    <x v="0"/>
    <x v="36"/>
    <s v="ING.MARIO M. ROJAS ESCARREGA"/>
    <x v="11"/>
    <s v="CVJ"/>
    <x v="1"/>
    <n v="558"/>
    <d v="2015-05-13T00:00:00"/>
    <d v="2015-04-30T00:00:00"/>
    <n v="1"/>
    <x v="1"/>
    <n v="11"/>
    <n v="2"/>
    <n v="1"/>
  </r>
  <r>
    <s v="109"/>
    <x v="109"/>
    <x v="3"/>
    <x v="0"/>
    <x v="19"/>
    <s v="ING. ALFONSO MONTES GALLEGOS"/>
    <x v="0"/>
    <s v="GGV"/>
    <x v="1"/>
    <n v="545"/>
    <d v="2015-05-07T00:00:00"/>
    <d v="2015-05-07T00:00:00"/>
    <n v="1"/>
    <x v="0"/>
    <s v="=IF(RC[-4]=0,0,(NETWORKDAYS(RC[-13],RC[-4])))"/>
    <n v="8"/>
    <n v="1"/>
  </r>
  <r>
    <s v="108"/>
    <x v="110"/>
    <x v="43"/>
    <x v="0"/>
    <x v="34"/>
    <s v="JUAN JOSÉ BALVER GONZÁLEZ"/>
    <x v="15"/>
    <s v="ICM"/>
    <x v="1"/>
    <n v="546"/>
    <d v="2015-05-07T00:00:00"/>
    <d v="2015-04-30T00:00:00"/>
    <n v="1"/>
    <x v="0"/>
    <n v="9"/>
    <n v="4"/>
    <n v="1"/>
  </r>
  <r>
    <s v="107"/>
    <x v="110"/>
    <x v="43"/>
    <x v="0"/>
    <x v="34"/>
    <s v="JUAN JOSÉ BALVER GONZÁLEZ"/>
    <x v="15"/>
    <s v="ICM"/>
    <x v="1"/>
    <n v="548"/>
    <d v="2015-05-07T00:00:00"/>
    <d v="2015-04-30T00:00:00"/>
    <n v="1"/>
    <x v="0"/>
    <n v="9"/>
    <n v="4"/>
    <n v="1"/>
  </r>
  <r>
    <s v="106"/>
    <x v="110"/>
    <x v="44"/>
    <x v="0"/>
    <x v="44"/>
    <s v="ING. GERARDO GONZALEZ BALDERAS"/>
    <x v="9"/>
    <s v="CVJ"/>
    <x v="1"/>
    <s v="536 (2).pdf"/>
    <d v="2015-04-29T00:00:00"/>
    <d v="2015-04-29T00:00:00"/>
    <n v="1"/>
    <x v="0"/>
    <n v="3"/>
    <n v="3"/>
    <n v="1"/>
  </r>
  <r>
    <s v="105"/>
    <x v="111"/>
    <x v="24"/>
    <x v="0"/>
    <x v="11"/>
    <s v="DANIEL PINTO DÁVALOS"/>
    <x v="0"/>
    <s v="GGV"/>
    <x v="1"/>
    <n v="547"/>
    <d v="2015-05-07T00:00:00"/>
    <d v="2015-05-07T00:00:00"/>
    <n v="1"/>
    <x v="0"/>
    <n v="10"/>
    <n v="10"/>
    <n v="1"/>
  </r>
  <r>
    <s v="104"/>
    <x v="110"/>
    <x v="3"/>
    <x v="0"/>
    <x v="5"/>
    <s v="ING. MARCIAL SANDOVAL BECERRA"/>
    <x v="0"/>
    <s v="CVJ"/>
    <x v="1"/>
    <n v="537"/>
    <d v="2015-04-29T00:00:00"/>
    <d v="2015-04-29T00:00:00"/>
    <n v="1"/>
    <x v="0"/>
    <n v="3"/>
    <n v="3"/>
    <n v="1"/>
  </r>
  <r>
    <s v="103"/>
    <x v="112"/>
    <x v="19"/>
    <x v="0"/>
    <x v="1"/>
    <s v="ING. MARCIAL SANDOVAL BECERRA"/>
    <x v="10"/>
    <s v="CVJ"/>
    <x v="1"/>
    <n v="557"/>
    <d v="2015-05-12T00:00:00"/>
    <d v="2015-04-26T00:00:00"/>
    <n v="1"/>
    <x v="0"/>
    <n v="14"/>
    <n v="2"/>
    <n v="1"/>
  </r>
  <r>
    <s v="102"/>
    <x v="113"/>
    <x v="5"/>
    <x v="0"/>
    <x v="5"/>
    <s v="ING. GERARDO ÁNGEL HERNANDEZ"/>
    <x v="0"/>
    <s v="CVJ"/>
    <x v="1"/>
    <s v="BAJA"/>
    <d v="2015-05-06T00:00:00"/>
    <d v="2015-04-22T00:00:00"/>
    <n v="1"/>
    <x v="0"/>
    <s v="=IF(RC[-4]=0,0,(NETWORKDAYS(RC[-13],RC[-4])))"/>
    <n v="2"/>
    <n v="1"/>
  </r>
  <r>
    <s v="101"/>
    <x v="113"/>
    <x v="3"/>
    <x v="0"/>
    <x v="5"/>
    <s v="ING. GERARDO ÁNGEL HERNANDEZ"/>
    <x v="0"/>
    <s v="CVJ"/>
    <x v="1"/>
    <s v="537-A"/>
    <d v="2015-04-27T00:00:00"/>
    <d v="2015-04-22T00:00:00"/>
    <n v="1"/>
    <x v="0"/>
    <s v="=IF(RC[-4]=0,0,(NETWORKDAYS(RC[-13],RC[-4])))"/>
    <n v="2"/>
    <n v="1"/>
  </r>
  <r>
    <s v="100"/>
    <x v="114"/>
    <x v="45"/>
    <x v="0"/>
    <x v="49"/>
    <s v="ING. JOSÉ LUIS URIBE SALINAS"/>
    <x v="17"/>
    <s v="CVJ"/>
    <x v="1"/>
    <n v="222"/>
    <d v="2015-04-21T00:00:00"/>
    <d v="2015-04-21T00:00:00"/>
    <n v="1"/>
    <x v="0"/>
    <n v="2"/>
    <n v="2"/>
    <n v="1"/>
  </r>
  <r>
    <s v="99"/>
    <x v="115"/>
    <x v="46"/>
    <x v="0"/>
    <x v="46"/>
    <s v="ING. MOISES CASTRO SALINAS"/>
    <x v="7"/>
    <s v="CVJ"/>
    <x v="1"/>
    <n v="533"/>
    <d v="2015-04-24T00:00:00"/>
    <d v="2015-04-24T00:00:00"/>
    <n v="1"/>
    <x v="0"/>
    <n v="6"/>
    <n v="6"/>
    <n v="1"/>
  </r>
  <r>
    <s v="98"/>
    <x v="116"/>
    <x v="47"/>
    <x v="0"/>
    <x v="50"/>
    <s v="CARLA ESCALERA CUÉLLAR"/>
    <x v="17"/>
    <s v="GGV"/>
    <x v="1"/>
    <s v="Baja"/>
    <d v="2015-05-11T00:00:00"/>
    <d v="2015-04-21T00:00:00"/>
    <n v="1"/>
    <x v="0"/>
    <n v="19"/>
    <n v="5"/>
    <n v="1"/>
  </r>
  <r>
    <s v="97"/>
    <x v="117"/>
    <x v="10"/>
    <x v="0"/>
    <x v="22"/>
    <s v="MARCO ANTONIO FUENTES"/>
    <x v="4"/>
    <s v="GGV"/>
    <x v="1"/>
    <n v="538"/>
    <d v="2015-04-27T00:00:00"/>
    <d v="2015-04-27T00:00:00"/>
    <n v="1"/>
    <x v="0"/>
    <n v="11"/>
    <n v="11"/>
    <n v="1"/>
  </r>
  <r>
    <s v="96"/>
    <x v="118"/>
    <x v="3"/>
    <x v="0"/>
    <x v="3"/>
    <s v="ING. ARTURO AGUILERA ALVARADO"/>
    <x v="0"/>
    <s v="FPDO"/>
    <x v="1"/>
    <n v="540"/>
    <d v="2015-04-27T00:00:00"/>
    <d v="2015-04-20T00:00:00"/>
    <n v="1"/>
    <x v="0"/>
    <n v="13"/>
    <n v="8"/>
    <n v="1"/>
  </r>
  <r>
    <s v="95"/>
    <x v="118"/>
    <x v="3"/>
    <x v="0"/>
    <x v="3"/>
    <s v="ING. ARTURO AGUILERA ALVARADO"/>
    <x v="0"/>
    <s v="FPDO"/>
    <x v="1"/>
    <n v="540"/>
    <d v="2015-04-27T00:00:00"/>
    <d v="2015-04-20T00:00:00"/>
    <n v="1"/>
    <x v="0"/>
    <n v="13"/>
    <n v="8"/>
    <n v="1"/>
  </r>
  <r>
    <s v="94"/>
    <x v="118"/>
    <x v="3"/>
    <x v="0"/>
    <x v="3"/>
    <s v="ING. ARTURO AGUILERA ALVARADO"/>
    <x v="0"/>
    <s v="FPDO"/>
    <x v="1"/>
    <n v="534"/>
    <d v="2015-04-27T00:00:00"/>
    <d v="2015-04-20T00:00:00"/>
    <n v="1"/>
    <x v="0"/>
    <n v="13"/>
    <n v="8"/>
    <n v="1"/>
  </r>
  <r>
    <s v="93"/>
    <x v="118"/>
    <x v="3"/>
    <x v="0"/>
    <x v="3"/>
    <s v="ING. ARTURO AGUILERA ALVARADO"/>
    <x v="0"/>
    <s v="FPDO"/>
    <x v="1"/>
    <n v="534"/>
    <d v="2015-04-27T00:00:00"/>
    <d v="2015-04-20T00:00:00"/>
    <n v="1"/>
    <x v="0"/>
    <n v="13"/>
    <n v="8"/>
    <n v="1"/>
  </r>
  <r>
    <s v="92"/>
    <x v="118"/>
    <x v="3"/>
    <x v="0"/>
    <x v="3"/>
    <s v="ING. ARTURO AGUILERA ALVARADO"/>
    <x v="0"/>
    <s v="FPDO"/>
    <x v="1"/>
    <n v="534"/>
    <d v="2015-04-27T00:00:00"/>
    <d v="2015-04-20T00:00:00"/>
    <n v="1"/>
    <x v="0"/>
    <n v="13"/>
    <n v="8"/>
    <n v="1"/>
  </r>
  <r>
    <s v="91"/>
    <x v="118"/>
    <x v="3"/>
    <x v="0"/>
    <x v="3"/>
    <s v="ING. ARTURO AGUILERA ALVARADO"/>
    <x v="0"/>
    <s v="FPDO"/>
    <x v="1"/>
    <n v="534"/>
    <d v="2015-04-27T00:00:00"/>
    <d v="2015-04-20T00:00:00"/>
    <n v="1"/>
    <x v="0"/>
    <n v="13"/>
    <n v="8"/>
    <n v="1"/>
  </r>
  <r>
    <s v="90"/>
    <x v="118"/>
    <x v="3"/>
    <x v="0"/>
    <x v="3"/>
    <s v="ING. ARTURO AGUILERA ALVARADO"/>
    <x v="0"/>
    <s v="FPDO"/>
    <x v="1"/>
    <n v="534"/>
    <d v="2015-04-27T00:00:00"/>
    <d v="2015-04-20T00:00:00"/>
    <n v="1"/>
    <x v="0"/>
    <n v="13"/>
    <n v="8"/>
    <n v="1"/>
  </r>
  <r>
    <s v="89"/>
    <x v="118"/>
    <x v="3"/>
    <x v="0"/>
    <x v="3"/>
    <s v="ING. ARTURO AGUILERA ALVARADO"/>
    <x v="0"/>
    <s v="FPDO"/>
    <x v="1"/>
    <n v="534"/>
    <d v="2015-04-27T00:00:00"/>
    <d v="2015-04-20T00:00:00"/>
    <n v="1"/>
    <x v="0"/>
    <n v="13"/>
    <n v="8"/>
    <n v="1"/>
  </r>
  <r>
    <s v="88"/>
    <x v="119"/>
    <x v="28"/>
    <x v="0"/>
    <x v="9"/>
    <s v="ING. UBALDO MENDOZA MEJÍA"/>
    <x v="15"/>
    <s v="CVJ"/>
    <x v="1"/>
    <n v="537"/>
    <d v="2015-04-24T00:00:00"/>
    <d v="2015-04-11T00:00:00"/>
    <n v="1"/>
    <x v="0"/>
    <n v="11"/>
    <n v="1"/>
    <n v="1"/>
  </r>
  <r>
    <s v="87"/>
    <x v="119"/>
    <x v="28"/>
    <x v="0"/>
    <x v="9"/>
    <s v="ING. UBALDO MENDOZA MEJÍA"/>
    <x v="15"/>
    <s v="CVJ"/>
    <x v="1"/>
    <n v="536"/>
    <d v="2015-04-28T00:00:00"/>
    <d v="2015-04-11T00:00:00"/>
    <n v="1"/>
    <x v="0"/>
    <n v="13"/>
    <n v="1"/>
    <n v="1"/>
  </r>
  <r>
    <s v="86"/>
    <x v="119"/>
    <x v="28"/>
    <x v="0"/>
    <x v="9"/>
    <s v="ING. UBALDO MENDOZA MEJÍA"/>
    <x v="15"/>
    <s v="CVJ"/>
    <x v="1"/>
    <n v="223"/>
    <d v="2015-04-22T00:00:00"/>
    <d v="2015-04-11T00:00:00"/>
    <n v="1"/>
    <x v="0"/>
    <n v="9"/>
    <n v="1"/>
    <n v="1"/>
  </r>
  <r>
    <s v="85"/>
    <x v="119"/>
    <x v="28"/>
    <x v="0"/>
    <x v="9"/>
    <s v="ING. UBALDO MENDOZA MEJÍA"/>
    <x v="15"/>
    <s v="CVJ"/>
    <x v="1"/>
    <n v="556"/>
    <d v="2015-05-11T00:00:00"/>
    <d v="2015-04-11T00:00:00"/>
    <n v="1"/>
    <x v="0"/>
    <n v="22"/>
    <n v="1"/>
    <n v="1"/>
  </r>
  <r>
    <s v="84"/>
    <x v="120"/>
    <x v="48"/>
    <x v="2"/>
    <x v="51"/>
    <s v="ADRIANA CASTILLO HERNANDEZ"/>
    <x v="18"/>
    <s v="CVJ"/>
    <x v="1"/>
    <n v="539"/>
    <d v="2015-04-27T00:00:00"/>
    <d v="2015-04-14T00:00:00"/>
    <n v="1"/>
    <x v="0"/>
    <n v="16"/>
    <n v="7"/>
    <n v="1"/>
  </r>
  <r>
    <s v="83"/>
    <x v="121"/>
    <x v="5"/>
    <x v="0"/>
    <x v="13"/>
    <s v="ING. MARIO ALBERTO BAZAN MONTAÑEZ"/>
    <x v="0"/>
    <s v="CVJ"/>
    <x v="1"/>
    <n v="190"/>
    <d v="2015-03-31T00:00:00"/>
    <d v="2015-03-31T00:00:00"/>
    <n v="1"/>
    <x v="0"/>
    <m/>
    <n v="3"/>
    <n v="1"/>
  </r>
  <r>
    <s v="82"/>
    <x v="121"/>
    <x v="35"/>
    <x v="0"/>
    <x v="2"/>
    <s v="ING. JOSE L. PERALTA JIMENEZ"/>
    <x v="19"/>
    <s v="FPDO"/>
    <x v="1"/>
    <n v="186"/>
    <d v="2015-03-28T00:00:00"/>
    <d v="2015-03-28T00:00:00"/>
    <n v="1"/>
    <x v="0"/>
    <m/>
    <n v="1"/>
    <n v="1"/>
  </r>
  <r>
    <s v="81"/>
    <x v="121"/>
    <x v="21"/>
    <x v="0"/>
    <x v="36"/>
    <s v="ING. JESUS NUÑO RUIZ"/>
    <x v="20"/>
    <s v="CVJ"/>
    <x v="1"/>
    <n v="200"/>
    <d v="2015-04-09T00:00:00"/>
    <d v="2015-04-09T00:00:00"/>
    <n v="1"/>
    <x v="0"/>
    <m/>
    <n v="10"/>
    <n v="1"/>
  </r>
  <r>
    <s v="80"/>
    <x v="121"/>
    <x v="39"/>
    <x v="0"/>
    <x v="6"/>
    <s v="ING. EDGAR MENDOZA RIVAS"/>
    <x v="21"/>
    <s v="CVJ"/>
    <x v="1"/>
    <n v="185"/>
    <d v="2015-03-30T00:00:00"/>
    <d v="2015-03-30T00:00:00"/>
    <n v="1"/>
    <x v="0"/>
    <m/>
    <n v="2"/>
    <n v="1"/>
  </r>
  <r>
    <s v="79"/>
    <x v="122"/>
    <x v="22"/>
    <x v="0"/>
    <x v="31"/>
    <s v="ING. DANIEL VARGAS HERNÁNDEZ"/>
    <x v="0"/>
    <s v="GGV"/>
    <x v="1"/>
    <s v="Baja"/>
    <d v="2015-04-14T00:00:00"/>
    <d v="2015-03-31T00:00:00"/>
    <n v="1"/>
    <x v="0"/>
    <m/>
    <n v="6"/>
    <n v="1"/>
  </r>
  <r>
    <s v="78"/>
    <x v="122"/>
    <x v="21"/>
    <x v="0"/>
    <x v="52"/>
    <s v="ING. OSCAR A. ROCHA HIDEROA"/>
    <x v="20"/>
    <s v="CVJ"/>
    <x v="1"/>
    <s v="Baja"/>
    <d v="2015-03-26T00:00:00"/>
    <d v="2015-03-26T00:00:00"/>
    <n v="1"/>
    <x v="0"/>
    <m/>
    <n v="3"/>
    <n v="1"/>
  </r>
  <r>
    <s v="77"/>
    <x v="123"/>
    <x v="18"/>
    <x v="0"/>
    <x v="44"/>
    <s v="ING. GERARDO GONZALEZ BALDERAS"/>
    <x v="9"/>
    <s v="CVJ"/>
    <x v="1"/>
    <n v="181"/>
    <d v="2015-03-25T00:00:00"/>
    <d v="2015-03-27T00:00:00"/>
    <n v="1"/>
    <x v="0"/>
    <m/>
    <n v="5"/>
    <n v="1"/>
  </r>
  <r>
    <s v="76"/>
    <x v="124"/>
    <x v="3"/>
    <x v="0"/>
    <x v="3"/>
    <s v="ING. ARTURO AGUILERA ALVARADO"/>
    <x v="0"/>
    <s v="FPDO"/>
    <x v="1"/>
    <n v="207"/>
    <d v="2015-04-13T00:00:00"/>
    <d v="2015-03-30T00:00:00"/>
    <n v="1"/>
    <x v="0"/>
    <m/>
    <n v="7"/>
    <n v="1"/>
  </r>
  <r>
    <s v="75"/>
    <x v="124"/>
    <x v="3"/>
    <x v="0"/>
    <x v="3"/>
    <s v="ING. ARTURO AGUILERA ALVARADO"/>
    <x v="0"/>
    <s v="FPDO"/>
    <x v="1"/>
    <n v="207"/>
    <d v="2015-04-13T00:00:00"/>
    <d v="2015-03-30T00:00:00"/>
    <n v="1"/>
    <x v="0"/>
    <m/>
    <n v="7"/>
    <n v="1"/>
  </r>
  <r>
    <s v="74"/>
    <x v="124"/>
    <x v="3"/>
    <x v="0"/>
    <x v="3"/>
    <s v="ING. ARTURO AGUILERA ALVARADO"/>
    <x v="0"/>
    <s v="FPDO"/>
    <x v="1"/>
    <n v="207"/>
    <d v="2015-04-13T00:00:00"/>
    <d v="2015-03-30T00:00:00"/>
    <n v="1"/>
    <x v="0"/>
    <m/>
    <n v="7"/>
    <n v="1"/>
  </r>
  <r>
    <s v="73"/>
    <x v="124"/>
    <x v="3"/>
    <x v="0"/>
    <x v="3"/>
    <s v="ING. ARTURO AGUILERA ALVARADO"/>
    <x v="0"/>
    <s v="FPDO"/>
    <x v="1"/>
    <n v="207"/>
    <d v="2015-04-13T00:00:00"/>
    <d v="2015-03-30T00:00:00"/>
    <n v="1"/>
    <x v="0"/>
    <m/>
    <n v="7"/>
    <n v="1"/>
  </r>
  <r>
    <s v="72"/>
    <x v="124"/>
    <x v="3"/>
    <x v="0"/>
    <x v="3"/>
    <s v="ING. ARTURO AGUILERA ALVARADO"/>
    <x v="0"/>
    <s v="FPDO"/>
    <x v="1"/>
    <n v="207"/>
    <d v="2015-04-13T00:00:00"/>
    <d v="2015-03-30T00:00:00"/>
    <n v="1"/>
    <x v="0"/>
    <m/>
    <n v="7"/>
    <n v="1"/>
  </r>
  <r>
    <s v="71"/>
    <x v="124"/>
    <x v="3"/>
    <x v="0"/>
    <x v="3"/>
    <s v="ING. ARTURO AGUILERA ALVARADO"/>
    <x v="0"/>
    <s v="FPDO"/>
    <x v="1"/>
    <n v="207"/>
    <d v="2015-04-13T00:00:00"/>
    <d v="2015-03-30T00:00:00"/>
    <n v="1"/>
    <x v="0"/>
    <m/>
    <n v="7"/>
    <n v="1"/>
  </r>
  <r>
    <s v="70"/>
    <x v="125"/>
    <x v="49"/>
    <x v="0"/>
    <x v="53"/>
    <s v="ING. OLIVER CARATTI"/>
    <x v="8"/>
    <s v="CVJ"/>
    <x v="1"/>
    <s v="Baja"/>
    <d v="2015-04-13T00:00:00"/>
    <d v="2015-03-20T00:00:00"/>
    <n v="1"/>
    <x v="0"/>
    <m/>
    <n v="3"/>
    <n v="1"/>
  </r>
  <r>
    <s v="69"/>
    <x v="125"/>
    <x v="43"/>
    <x v="0"/>
    <x v="53"/>
    <s v="ING. OLIVER CARATTI"/>
    <x v="15"/>
    <s v="CVJ"/>
    <x v="1"/>
    <s v="Baja"/>
    <d v="2015-04-13T00:00:00"/>
    <d v="2015-03-20T00:00:00"/>
    <n v="1"/>
    <x v="0"/>
    <m/>
    <n v="3"/>
    <n v="1"/>
  </r>
  <r>
    <s v="68"/>
    <x v="126"/>
    <x v="3"/>
    <x v="0"/>
    <x v="13"/>
    <s v="ING. MARIO BAZAN MONTAÑEZ"/>
    <x v="0"/>
    <s v="FPDO"/>
    <x v="1"/>
    <n v="191"/>
    <d v="2015-03-31T00:00:00"/>
    <d v="2015-03-18T00:00:00"/>
    <n v="1"/>
    <x v="0"/>
    <m/>
    <n v="7"/>
    <n v="1"/>
  </r>
  <r>
    <s v="67"/>
    <x v="126"/>
    <x v="3"/>
    <x v="0"/>
    <x v="13"/>
    <s v="ING. MARIO BAZAN MONTAÑEZ"/>
    <x v="0"/>
    <s v="FPDO"/>
    <x v="1"/>
    <n v="195"/>
    <d v="2015-03-08T00:00:00"/>
    <d v="2015-03-18T00:00:00"/>
    <n v="1"/>
    <x v="0"/>
    <m/>
    <n v="7"/>
    <n v="1"/>
  </r>
  <r>
    <s v="66"/>
    <x v="126"/>
    <x v="3"/>
    <x v="0"/>
    <x v="13"/>
    <s v="ING. MARIO BAZAN MONTAÑEZ"/>
    <x v="0"/>
    <s v="GGV"/>
    <x v="1"/>
    <n v="194"/>
    <d v="2015-03-08T00:00:00"/>
    <d v="2015-03-11T00:00:00"/>
    <n v="1"/>
    <x v="0"/>
    <m/>
    <n v="2"/>
    <n v="1"/>
  </r>
  <r>
    <s v="65"/>
    <x v="126"/>
    <x v="9"/>
    <x v="0"/>
    <x v="16"/>
    <s v="ING. ALFREDO DIONICIO BARRÓN"/>
    <x v="0"/>
    <s v="CVJ"/>
    <x v="1"/>
    <n v="174"/>
    <d v="2015-03-24T00:00:00"/>
    <d v="2015-03-24T00:00:00"/>
    <n v="1"/>
    <x v="0"/>
    <m/>
    <n v="11"/>
    <n v="1"/>
  </r>
  <r>
    <s v="64"/>
    <x v="127"/>
    <x v="9"/>
    <x v="0"/>
    <x v="13"/>
    <s v="ING. FERNANDO SÁNCHEZ HINOJOSA"/>
    <x v="0"/>
    <s v="CVJ"/>
    <x v="1"/>
    <n v="169"/>
    <d v="2015-03-17T00:00:00"/>
    <d v="2015-03-17T00:00:00"/>
    <n v="1"/>
    <x v="0"/>
    <m/>
    <n v="7"/>
    <n v="1"/>
  </r>
  <r>
    <s v="63"/>
    <x v="128"/>
    <x v="18"/>
    <x v="0"/>
    <x v="9"/>
    <s v="ING. UBALDO MENDOZA MEJIA"/>
    <x v="9"/>
    <s v="GGV"/>
    <x v="1"/>
    <n v="173"/>
    <d v="2015-03-23T00:00:00"/>
    <d v="2015-03-23T00:00:00"/>
    <n v="1"/>
    <x v="0"/>
    <m/>
    <n v="12"/>
    <n v="1"/>
  </r>
  <r>
    <s v="62"/>
    <x v="128"/>
    <x v="18"/>
    <x v="0"/>
    <x v="9"/>
    <s v="ING. UBALDO MENDOZA MEJIA"/>
    <x v="9"/>
    <s v="GGV"/>
    <x v="1"/>
    <n v="173"/>
    <d v="2015-03-23T00:00:00"/>
    <d v="2015-03-23T00:00:00"/>
    <n v="1"/>
    <x v="0"/>
    <m/>
    <n v="12"/>
    <n v="1"/>
  </r>
  <r>
    <s v="61"/>
    <x v="128"/>
    <x v="18"/>
    <x v="0"/>
    <x v="9"/>
    <s v="ING. UBALDO MENDOZA MEJIA"/>
    <x v="9"/>
    <s v="FPDO"/>
    <x v="1"/>
    <n v="158"/>
    <d v="2015-03-11T00:00:00"/>
    <d v="2015-03-11T00:00:00"/>
    <n v="1"/>
    <x v="0"/>
    <m/>
    <n v="4"/>
    <n v="1"/>
  </r>
  <r>
    <s v="60"/>
    <x v="128"/>
    <x v="18"/>
    <x v="0"/>
    <x v="9"/>
    <s v="ING. UBALDO MENDOZA MEJIA"/>
    <x v="9"/>
    <s v="FPDO"/>
    <x v="1"/>
    <n v="159"/>
    <d v="2015-03-10T00:00:00"/>
    <d v="2015-03-10T00:00:00"/>
    <n v="1"/>
    <x v="0"/>
    <m/>
    <n v="3"/>
    <n v="1"/>
  </r>
  <r>
    <s v="59"/>
    <x v="128"/>
    <x v="23"/>
    <x v="0"/>
    <x v="6"/>
    <s v="ING. EDGAR RENÉ MENDOZA RIVAS"/>
    <x v="12"/>
    <s v="CVJ"/>
    <x v="1"/>
    <n v="151"/>
    <d v="2015-03-10T00:00:00"/>
    <d v="2015-03-10T00:00:00"/>
    <n v="1"/>
    <x v="0"/>
    <m/>
    <n v="3"/>
    <n v="1"/>
  </r>
  <r>
    <s v="58"/>
    <x v="129"/>
    <x v="7"/>
    <x v="0"/>
    <x v="27"/>
    <s v="ING. CARLOS MEDINA MALDONADO"/>
    <x v="22"/>
    <s v="CVJ"/>
    <x v="1"/>
    <n v="136"/>
    <d v="2015-03-03T00:00:00"/>
    <d v="2015-03-03T00:00:00"/>
    <n v="1"/>
    <x v="0"/>
    <m/>
    <n v="3"/>
    <n v="1"/>
  </r>
  <r>
    <s v="57"/>
    <x v="130"/>
    <x v="3"/>
    <x v="0"/>
    <x v="3"/>
    <s v="ING. ARTURO AGUILERA ALVARADO"/>
    <x v="0"/>
    <s v="FPDO"/>
    <x v="1"/>
    <n v="150"/>
    <d v="2015-03-06T00:00:00"/>
    <d v="2015-03-06T00:00:00"/>
    <n v="1"/>
    <x v="0"/>
    <m/>
    <n v="7"/>
    <n v="1"/>
  </r>
  <r>
    <s v="56"/>
    <x v="130"/>
    <x v="3"/>
    <x v="0"/>
    <x v="3"/>
    <s v="ING. ARTURO AGUILERA ALVARADO"/>
    <x v="0"/>
    <s v="FPDO"/>
    <x v="1"/>
    <n v="150"/>
    <d v="2015-03-06T00:00:00"/>
    <d v="2015-03-06T00:00:00"/>
    <n v="1"/>
    <x v="0"/>
    <m/>
    <n v="7"/>
    <n v="1"/>
  </r>
  <r>
    <s v="55"/>
    <x v="130"/>
    <x v="3"/>
    <x v="0"/>
    <x v="3"/>
    <s v="ING. ARTURO AGUILERA ALVARADO"/>
    <x v="0"/>
    <s v="FPDO"/>
    <x v="1"/>
    <n v="150"/>
    <d v="2015-03-06T00:00:00"/>
    <d v="2015-03-06T00:00:00"/>
    <n v="1"/>
    <x v="0"/>
    <m/>
    <n v="7"/>
    <n v="1"/>
  </r>
  <r>
    <s v="54"/>
    <x v="130"/>
    <x v="15"/>
    <x v="0"/>
    <x v="3"/>
    <s v="ING. ARTURO AGUILERA ALVARADO"/>
    <x v="0"/>
    <s v="FPDO"/>
    <x v="1"/>
    <n v="142"/>
    <d v="2015-03-03T00:00:00"/>
    <d v="2015-03-03T00:00:00"/>
    <n v="1"/>
    <x v="0"/>
    <m/>
    <n v="4"/>
    <n v="1"/>
  </r>
  <r>
    <s v="53"/>
    <x v="131"/>
    <x v="24"/>
    <x v="0"/>
    <x v="11"/>
    <s v="ING. DANIEL PINTO DÁVALOS"/>
    <x v="0"/>
    <s v="GGV"/>
    <x v="1"/>
    <n v="135"/>
    <d v="2015-03-03T00:00:00"/>
    <d v="2015-03-03T00:00:00"/>
    <n v="1"/>
    <x v="0"/>
    <m/>
    <n v="7"/>
    <n v="1"/>
  </r>
  <r>
    <s v="52"/>
    <x v="132"/>
    <x v="23"/>
    <x v="0"/>
    <x v="6"/>
    <s v="ING. HUMBERTO GONZÁLEZ JUÁREZ"/>
    <x v="12"/>
    <s v="CVJ"/>
    <x v="1"/>
    <n v="151"/>
    <d v="2015-02-23T00:00:00"/>
    <d v="2015-02-23T00:00:00"/>
    <n v="1"/>
    <x v="0"/>
    <m/>
    <n v="3"/>
    <n v="1"/>
  </r>
  <r>
    <s v="51"/>
    <x v="133"/>
    <x v="50"/>
    <x v="0"/>
    <x v="2"/>
    <s v="HUGO IVÁN GUZMÁN JIMÉNEZ"/>
    <x v="0"/>
    <s v="CVJ"/>
    <x v="1"/>
    <n v="116"/>
    <d v="2015-02-20T00:00:00"/>
    <d v="2015-02-20T00:00:00"/>
    <n v="1"/>
    <x v="0"/>
    <m/>
    <n v="3"/>
    <n v="1"/>
  </r>
  <r>
    <s v="50"/>
    <x v="133"/>
    <x v="4"/>
    <x v="0"/>
    <x v="9"/>
    <s v="ING. UBALDO MENDOZA MEJÍA"/>
    <x v="0"/>
    <s v="CVJ"/>
    <x v="1"/>
    <n v="119"/>
    <d v="2015-02-25T00:00:00"/>
    <d v="2015-02-25T00:00:00"/>
    <n v="1"/>
    <x v="0"/>
    <m/>
    <n v="6"/>
    <n v="1"/>
  </r>
  <r>
    <s v="49"/>
    <x v="133"/>
    <x v="5"/>
    <x v="0"/>
    <x v="9"/>
    <s v="ING. UBALDO MENDOZA MEJÍA"/>
    <x v="0"/>
    <s v="CVJ"/>
    <x v="1"/>
    <n v="118"/>
    <d v="2015-02-25T00:00:00"/>
    <d v="2015-02-25T00:00:00"/>
    <n v="1"/>
    <x v="0"/>
    <m/>
    <n v="6"/>
    <n v="1"/>
  </r>
  <r>
    <s v="48"/>
    <x v="134"/>
    <x v="5"/>
    <x v="0"/>
    <x v="11"/>
    <s v="ING. DANIEL PINTO DÁVALOS"/>
    <x v="0"/>
    <s v="GGV"/>
    <x v="1"/>
    <n v="115"/>
    <d v="2015-02-23T00:00:00"/>
    <d v="2015-02-23T00:00:00"/>
    <n v="1"/>
    <x v="0"/>
    <m/>
    <n v="5"/>
    <n v="1"/>
  </r>
  <r>
    <s v="47"/>
    <x v="135"/>
    <x v="19"/>
    <x v="0"/>
    <x v="2"/>
    <s v="ING. DUVIN TAPIA SILVA"/>
    <x v="23"/>
    <s v="CVJ"/>
    <x v="1"/>
    <n v="101"/>
    <d v="2015-02-16T00:00:00"/>
    <d v="2015-02-16T00:00:00"/>
    <n v="1"/>
    <x v="0"/>
    <m/>
    <n v="2"/>
    <n v="1"/>
  </r>
  <r>
    <s v="46"/>
    <x v="135"/>
    <x v="3"/>
    <x v="0"/>
    <x v="11"/>
    <s v="ING. DANIEL PINTO DÁVALOS"/>
    <x v="0"/>
    <s v="CVJ"/>
    <x v="1"/>
    <n v="107"/>
    <d v="2015-02-18T00:00:00"/>
    <d v="2015-02-18T00:00:00"/>
    <n v="1"/>
    <x v="0"/>
    <m/>
    <n v="4"/>
    <n v="1"/>
  </r>
  <r>
    <s v="45"/>
    <x v="135"/>
    <x v="3"/>
    <x v="0"/>
    <x v="11"/>
    <s v="ING. DANIEL PINTO DÁVALOS"/>
    <x v="0"/>
    <s v="CVJ"/>
    <x v="1"/>
    <n v="114"/>
    <d v="2015-02-24T00:00:00"/>
    <d v="2015-02-24T00:00:00"/>
    <n v="1"/>
    <x v="0"/>
    <m/>
    <n v="8"/>
    <n v="1"/>
  </r>
  <r>
    <s v="44"/>
    <x v="135"/>
    <x v="3"/>
    <x v="0"/>
    <x v="11"/>
    <s v="ING. DANIEL PINTO DÁVALOS"/>
    <x v="0"/>
    <s v="CVJ"/>
    <x v="1"/>
    <n v="105"/>
    <d v="2015-02-17T00:00:00"/>
    <d v="2015-02-17T00:00:00"/>
    <n v="1"/>
    <x v="0"/>
    <m/>
    <n v="3"/>
    <n v="1"/>
  </r>
  <r>
    <s v="43"/>
    <x v="135"/>
    <x v="15"/>
    <x v="0"/>
    <x v="3"/>
    <s v="ING. ARTURO AGUILERA ALVARADO"/>
    <x v="0"/>
    <s v="FPDO"/>
    <x v="1"/>
    <n v="128"/>
    <d v="2015-02-27T00:00:00"/>
    <d v="2015-02-27T00:00:00"/>
    <n v="1"/>
    <x v="0"/>
    <m/>
    <n v="11"/>
    <n v="1"/>
  </r>
  <r>
    <s v="42"/>
    <x v="135"/>
    <x v="15"/>
    <x v="0"/>
    <x v="3"/>
    <s v="ING. ARTURO AGUILERA ALVARADO"/>
    <x v="0"/>
    <s v="FPDO"/>
    <x v="1"/>
    <n v="128"/>
    <d v="2015-02-27T00:00:00"/>
    <d v="2015-02-27T00:00:00"/>
    <n v="1"/>
    <x v="0"/>
    <m/>
    <n v="11"/>
    <n v="1"/>
  </r>
  <r>
    <s v="41"/>
    <x v="135"/>
    <x v="15"/>
    <x v="0"/>
    <x v="3"/>
    <s v="ING. ARTURO AGUILERA ALVARADO"/>
    <x v="0"/>
    <s v="FPDO"/>
    <x v="1"/>
    <n v="129"/>
    <d v="2015-02-27T00:00:00"/>
    <d v="2015-02-27T00:00:00"/>
    <n v="1"/>
    <x v="0"/>
    <m/>
    <n v="11"/>
    <n v="1"/>
  </r>
  <r>
    <s v="40"/>
    <x v="135"/>
    <x v="15"/>
    <x v="0"/>
    <x v="3"/>
    <s v="ING. ARTURO AGUILERA ALVARADO"/>
    <x v="0"/>
    <s v="FPDO"/>
    <x v="1"/>
    <n v="129"/>
    <d v="2015-02-27T00:00:00"/>
    <d v="2015-02-27T00:00:00"/>
    <n v="1"/>
    <x v="0"/>
    <m/>
    <n v="11"/>
    <n v="1"/>
  </r>
  <r>
    <s v="39"/>
    <x v="135"/>
    <x v="15"/>
    <x v="0"/>
    <x v="3"/>
    <s v="ING. ARTURO AGUILERA ALVARADO"/>
    <x v="0"/>
    <s v="FPDO"/>
    <x v="1"/>
    <n v="130"/>
    <d v="2015-02-27T00:00:00"/>
    <d v="2015-02-27T00:00:00"/>
    <n v="1"/>
    <x v="0"/>
    <m/>
    <n v="11"/>
    <n v="1"/>
  </r>
  <r>
    <s v="38"/>
    <x v="135"/>
    <x v="15"/>
    <x v="0"/>
    <x v="3"/>
    <s v="ING. ARTURO AGUILERA ALVARADO"/>
    <x v="0"/>
    <s v="FPDO"/>
    <x v="1"/>
    <n v="130"/>
    <d v="2015-02-27T00:00:00"/>
    <d v="2015-02-27T00:00:00"/>
    <n v="1"/>
    <x v="0"/>
    <m/>
    <n v="11"/>
    <n v="1"/>
  </r>
  <r>
    <s v="37"/>
    <x v="136"/>
    <x v="3"/>
    <x v="0"/>
    <x v="11"/>
    <s v="ING. DANIEL PINTO DÁVALOS"/>
    <x v="0"/>
    <s v="FPDO"/>
    <x v="1"/>
    <n v="113"/>
    <d v="2015-02-24T00:00:00"/>
    <d v="2015-02-24T00:00:00"/>
    <n v="1"/>
    <x v="0"/>
    <m/>
    <n v="10"/>
    <n v="1"/>
  </r>
  <r>
    <s v="36"/>
    <x v="136"/>
    <x v="35"/>
    <x v="0"/>
    <x v="6"/>
    <s v="VLADIMIR ARAIZA"/>
    <x v="24"/>
    <s v="CVJ"/>
    <x v="1"/>
    <n v="112"/>
    <d v="2015-02-23T00:00:00"/>
    <d v="2015-02-23T00:00:00"/>
    <n v="1"/>
    <x v="0"/>
    <m/>
    <n v="9"/>
    <n v="1"/>
  </r>
  <r>
    <s v="35"/>
    <x v="137"/>
    <x v="49"/>
    <x v="0"/>
    <x v="53"/>
    <s v="ING. OLIVER CARATTI"/>
    <x v="8"/>
    <s v="CVJ"/>
    <x v="1"/>
    <s v="Baja"/>
    <d v="2015-02-11T00:00:00"/>
    <d v="2015-02-11T00:00:00"/>
    <n v="1"/>
    <x v="0"/>
    <m/>
    <n v="3"/>
    <n v="1"/>
  </r>
  <r>
    <s v="34"/>
    <x v="138"/>
    <x v="18"/>
    <x v="0"/>
    <x v="9"/>
    <s v="UBALDO MENDOZA MEJÍA"/>
    <x v="9"/>
    <s v="FPDO"/>
    <x v="1"/>
    <n v="110"/>
    <d v="2015-02-20T00:00:00"/>
    <d v="2015-02-20T00:00:00"/>
    <n v="1"/>
    <x v="0"/>
    <m/>
    <n v="12"/>
    <n v="1"/>
  </r>
  <r>
    <s v="33"/>
    <x v="138"/>
    <x v="18"/>
    <x v="0"/>
    <x v="9"/>
    <s v="UBALDO MENDOZA MEJÍA"/>
    <x v="9"/>
    <s v="FPDO"/>
    <x v="1"/>
    <n v="109"/>
    <d v="2015-02-20T00:00:00"/>
    <d v="2015-02-20T00:00:00"/>
    <n v="1"/>
    <x v="0"/>
    <m/>
    <n v="12"/>
    <n v="1"/>
  </r>
  <r>
    <s v="32"/>
    <x v="138"/>
    <x v="17"/>
    <x v="0"/>
    <x v="9"/>
    <s v="UBALDO MENDOZA MEJÍA"/>
    <x v="9"/>
    <s v="FPDO"/>
    <x v="1"/>
    <n v="108"/>
    <d v="2015-02-20T00:00:00"/>
    <d v="2015-02-20T00:00:00"/>
    <n v="1"/>
    <x v="0"/>
    <m/>
    <n v="12"/>
    <n v="1"/>
  </r>
  <r>
    <s v="31"/>
    <x v="138"/>
    <x v="51"/>
    <x v="0"/>
    <x v="9"/>
    <s v="UBALDO MENDOZA MEJÍA"/>
    <x v="0"/>
    <s v="FPDO"/>
    <x v="1"/>
    <n v="88"/>
    <d v="2015-02-12T00:00:00"/>
    <d v="2015-02-12T00:00:00"/>
    <n v="1"/>
    <x v="0"/>
    <m/>
    <n v="6"/>
    <n v="1"/>
  </r>
  <r>
    <s v="30"/>
    <x v="138"/>
    <x v="5"/>
    <x v="0"/>
    <x v="9"/>
    <s v="UBALDO MENDOZA MEJÍA"/>
    <x v="0"/>
    <s v="CVJ"/>
    <x v="1"/>
    <n v="82"/>
    <d v="2015-02-09T00:00:00"/>
    <d v="2015-02-09T00:00:00"/>
    <n v="1"/>
    <x v="0"/>
    <m/>
    <n v="3"/>
    <n v="1"/>
  </r>
  <r>
    <s v="29"/>
    <x v="139"/>
    <x v="27"/>
    <x v="0"/>
    <x v="34"/>
    <s v="JUAN JOSÉ BALVER GONZÁLEZ"/>
    <x v="14"/>
    <s v="FPDO"/>
    <x v="1"/>
    <n v="89"/>
    <d v="2015-02-11T00:00:00"/>
    <d v="2015-02-11T00:00:00"/>
    <n v="1"/>
    <x v="0"/>
    <m/>
    <n v="6"/>
    <n v="1"/>
  </r>
  <r>
    <s v="28"/>
    <x v="139"/>
    <x v="27"/>
    <x v="0"/>
    <x v="34"/>
    <s v="JUAN JOSÉ BALVER GONZÁLEZ"/>
    <x v="14"/>
    <s v="FPDO"/>
    <x v="1"/>
    <n v="87"/>
    <d v="2015-02-11T00:00:00"/>
    <d v="2015-02-11T00:00:00"/>
    <n v="1"/>
    <x v="0"/>
    <m/>
    <n v="6"/>
    <n v="1"/>
  </r>
  <r>
    <s v="27"/>
    <x v="140"/>
    <x v="9"/>
    <x v="0"/>
    <x v="13"/>
    <s v="ING. FERANDO SÁNCHEZ HINOJOSA"/>
    <x v="0"/>
    <s v="CVJ"/>
    <x v="1"/>
    <s v="Baja"/>
    <d v="2015-02-04T00:00:00"/>
    <d v="2015-02-04T00:00:00"/>
    <n v="1"/>
    <x v="0"/>
    <m/>
    <n v="2"/>
    <n v="1"/>
  </r>
  <r>
    <s v="26"/>
    <x v="140"/>
    <x v="7"/>
    <x v="0"/>
    <x v="27"/>
    <s v="ING. CARLOS MEDINA MALDONADO"/>
    <x v="2"/>
    <s v="CVJ"/>
    <x v="1"/>
    <s v="Baja"/>
    <d v="2015-02-09T00:00:00"/>
    <d v="2015-02-09T00:00:00"/>
    <n v="1"/>
    <x v="0"/>
    <m/>
    <n v="5"/>
    <n v="1"/>
  </r>
  <r>
    <s v="25"/>
    <x v="141"/>
    <x v="3"/>
    <x v="0"/>
    <x v="20"/>
    <s v="ING. CLAUDIO TORRES NAVA"/>
    <x v="8"/>
    <s v="FPDO"/>
    <x v="1"/>
    <n v="81"/>
    <d v="2015-02-09T00:00:00"/>
    <d v="2015-02-09T00:00:00"/>
    <n v="1"/>
    <x v="0"/>
    <m/>
    <n v="7"/>
    <n v="1"/>
  </r>
  <r>
    <s v="24"/>
    <x v="142"/>
    <x v="3"/>
    <x v="0"/>
    <x v="13"/>
    <s v="ING. MARIO ALBERTO BAZAN MONTAÑEZ"/>
    <x v="0"/>
    <s v="GGV"/>
    <x v="1"/>
    <n v="97"/>
    <d v="2015-02-06T00:00:00"/>
    <d v="2015-02-06T00:00:00"/>
    <n v="1"/>
    <x v="0"/>
    <m/>
    <n v="8"/>
    <n v="1"/>
  </r>
  <r>
    <s v="23"/>
    <x v="142"/>
    <x v="19"/>
    <x v="0"/>
    <x v="6"/>
    <s v="ING. LUIS ERNESTO GARCIA GRACIANO"/>
    <x v="10"/>
    <s v="CVJ"/>
    <x v="1"/>
    <s v="Baja"/>
    <d v="2015-01-30T00:00:00"/>
    <d v="2015-01-30T00:00:00"/>
    <n v="1"/>
    <x v="0"/>
    <m/>
    <n v="3"/>
    <n v="1"/>
  </r>
  <r>
    <s v="22"/>
    <x v="142"/>
    <x v="29"/>
    <x v="0"/>
    <x v="52"/>
    <s v="ING. OSCAR A. ROCHA HIDEROA"/>
    <x v="11"/>
    <s v="CVJ"/>
    <x v="1"/>
    <s v="Baja"/>
    <d v="2015-02-09T00:00:00"/>
    <d v="2015-02-09T00:00:00"/>
    <n v="1"/>
    <x v="0"/>
    <m/>
    <n v="9"/>
    <n v="1"/>
  </r>
  <r>
    <s v="21"/>
    <x v="143"/>
    <x v="3"/>
    <x v="0"/>
    <x v="13"/>
    <s v="ING. MARIO ALBERTO BAZAN MONTAÑEZ"/>
    <x v="0"/>
    <s v="CVJ"/>
    <x v="1"/>
    <n v="96"/>
    <d v="2015-02-06T00:00:00"/>
    <d v="2015-02-06T00:00:00"/>
    <n v="1"/>
    <x v="0"/>
    <m/>
    <n v="9"/>
    <n v="1"/>
  </r>
  <r>
    <s v="20"/>
    <x v="143"/>
    <x v="3"/>
    <x v="0"/>
    <x v="11"/>
    <s v="ING. DANIEL PINTO DÁVALOS"/>
    <x v="0"/>
    <s v="GGV"/>
    <x v="1"/>
    <n v="69"/>
    <d v="2015-02-04T00:00:00"/>
    <d v="2015-02-04T00:00:00"/>
    <n v="1"/>
    <x v="0"/>
    <m/>
    <n v="7"/>
    <n v="1"/>
  </r>
  <r>
    <s v="19"/>
    <x v="143"/>
    <x v="15"/>
    <x v="0"/>
    <x v="3"/>
    <s v="ING. ARTURO AGUILERA ALVARADO"/>
    <x v="0"/>
    <s v="GGV"/>
    <x v="1"/>
    <n v="70"/>
    <d v="2015-02-05T00:00:00"/>
    <d v="2015-02-05T00:00:00"/>
    <n v="1"/>
    <x v="0"/>
    <m/>
    <n v="8"/>
    <n v="1"/>
  </r>
  <r>
    <s v="18"/>
    <x v="143"/>
    <x v="15"/>
    <x v="0"/>
    <x v="3"/>
    <s v="ING. ARTURO AGUILERA ALVARADO"/>
    <x v="0"/>
    <s v="GGV"/>
    <x v="1"/>
    <n v="70"/>
    <d v="2015-02-05T00:00:00"/>
    <d v="2015-02-05T00:00:00"/>
    <n v="1"/>
    <x v="0"/>
    <m/>
    <n v="8"/>
    <n v="1"/>
  </r>
  <r>
    <s v="17"/>
    <x v="143"/>
    <x v="3"/>
    <x v="0"/>
    <x v="3"/>
    <s v="ING. ARTURO AGUILERA ALVARADO"/>
    <x v="0"/>
    <s v="FPDO"/>
    <x v="1"/>
    <n v="68"/>
    <d v="2015-02-04T00:00:00"/>
    <d v="2015-02-04T00:00:00"/>
    <n v="1"/>
    <x v="0"/>
    <m/>
    <n v="7"/>
    <n v="1"/>
  </r>
  <r>
    <s v="16"/>
    <x v="143"/>
    <x v="3"/>
    <x v="0"/>
    <x v="3"/>
    <s v="ING. ARTURO AGUILERA ALVARADO"/>
    <x v="0"/>
    <s v="FPDO"/>
    <x v="1"/>
    <n v="68"/>
    <d v="2015-02-04T00:00:00"/>
    <d v="2015-02-04T00:00:00"/>
    <n v="1"/>
    <x v="0"/>
    <m/>
    <n v="7"/>
    <n v="1"/>
  </r>
  <r>
    <s v="15"/>
    <x v="143"/>
    <x v="3"/>
    <x v="0"/>
    <x v="3"/>
    <s v="ING. ARTURO AGUILERA ALVARADO"/>
    <x v="0"/>
    <s v="FPDO"/>
    <x v="1"/>
    <n v="67"/>
    <d v="2015-02-04T00:00:00"/>
    <d v="2015-02-04T00:00:00"/>
    <n v="1"/>
    <x v="0"/>
    <m/>
    <n v="7"/>
    <n v="1"/>
  </r>
  <r>
    <s v="14"/>
    <x v="143"/>
    <x v="3"/>
    <x v="0"/>
    <x v="3"/>
    <s v="ING. ARTURO AGUILERA ALVARADO"/>
    <x v="0"/>
    <s v="FPDO"/>
    <x v="1"/>
    <n v="67"/>
    <d v="2015-02-04T00:00:00"/>
    <d v="2015-02-04T00:00:00"/>
    <n v="1"/>
    <x v="0"/>
    <m/>
    <n v="7"/>
    <n v="1"/>
  </r>
  <r>
    <s v="13"/>
    <x v="144"/>
    <x v="14"/>
    <x v="0"/>
    <x v="20"/>
    <s v="ING. CLAUDIO TORRES NAVA"/>
    <x v="8"/>
    <s v="FPDO"/>
    <x v="1"/>
    <n v="58"/>
    <d v="2015-01-30T00:00:00"/>
    <d v="2015-01-30T00:00:00"/>
    <n v="1"/>
    <x v="0"/>
    <m/>
    <n v="6"/>
    <n v="1"/>
  </r>
  <r>
    <s v="12"/>
    <x v="145"/>
    <x v="3"/>
    <x v="0"/>
    <x v="54"/>
    <s v="GUSTAVO CARLOS MATA"/>
    <x v="0"/>
    <s v="CVJ"/>
    <x v="1"/>
    <n v="46"/>
    <d v="2015-01-23T00:00:00"/>
    <d v="2015-01-23T00:00:00"/>
    <n v="1"/>
    <x v="0"/>
    <m/>
    <n v="2"/>
    <n v="1"/>
  </r>
  <r>
    <s v="11"/>
    <x v="146"/>
    <x v="3"/>
    <x v="0"/>
    <x v="19"/>
    <s v="ING. MARIO A. TORRES MORENO"/>
    <x v="0"/>
    <s v="GGV"/>
    <x v="1"/>
    <n v="47"/>
    <d v="2015-01-22T00:00:00"/>
    <d v="2015-01-22T00:00:00"/>
    <n v="1"/>
    <x v="0"/>
    <m/>
    <n v="4"/>
    <n v="1"/>
  </r>
  <r>
    <s v="10"/>
    <x v="147"/>
    <x v="12"/>
    <x v="0"/>
    <x v="27"/>
    <s v="ING. ESAD AVDIC KUSTURICA"/>
    <x v="6"/>
    <s v="CVJ"/>
    <x v="1"/>
    <n v="55"/>
    <d v="2015-01-28T00:00:00"/>
    <d v="2015-01-28T00:00:00"/>
    <n v="1"/>
    <x v="0"/>
    <m/>
    <n v="10"/>
    <n v="1"/>
  </r>
  <r>
    <s v="9"/>
    <x v="148"/>
    <x v="9"/>
    <x v="0"/>
    <x v="16"/>
    <s v="Ing. Alfredo Dionicio Barrón"/>
    <x v="0"/>
    <s v="CVJ"/>
    <x v="1"/>
    <s v="Baja -83"/>
    <d v="2015-02-03T00:00:00"/>
    <d v="2015-02-03T00:00:00"/>
    <n v="1"/>
    <x v="0"/>
    <m/>
    <n v="15"/>
    <n v="1"/>
  </r>
  <r>
    <s v="8"/>
    <x v="149"/>
    <x v="52"/>
    <x v="0"/>
    <x v="54"/>
    <s v="OSCAR F. SÁNCHEZ SÁNCHEZ"/>
    <x v="0"/>
    <s v="CVJ"/>
    <x v="1"/>
    <n v="35"/>
    <d v="2015-01-16T00:00:00"/>
    <d v="2015-01-16T00:00:00"/>
    <n v="1"/>
    <x v="0"/>
    <m/>
    <n v="4"/>
    <n v="1"/>
  </r>
  <r>
    <s v="7"/>
    <x v="150"/>
    <x v="5"/>
    <x v="0"/>
    <x v="55"/>
    <s v="ING. MIGUEL A. TORRES VALDEZ"/>
    <x v="0"/>
    <s v="CVJ"/>
    <x v="1"/>
    <n v="20"/>
    <d v="2015-01-12T00:00:00"/>
    <d v="2015-01-12T00:00:00"/>
    <n v="1"/>
    <x v="0"/>
    <m/>
    <n v="2"/>
    <n v="1"/>
  </r>
  <r>
    <s v="6"/>
    <x v="150"/>
    <x v="3"/>
    <x v="0"/>
    <x v="11"/>
    <s v="ING. DANIEL PINTO DÁVALOS"/>
    <x v="0"/>
    <s v="GGV"/>
    <x v="1"/>
    <n v="48"/>
    <d v="2015-01-23T00:00:00"/>
    <d v="2015-01-23T00:00:00"/>
    <n v="1"/>
    <x v="0"/>
    <m/>
    <n v="11"/>
    <n v="1"/>
  </r>
  <r>
    <s v="5"/>
    <x v="151"/>
    <x v="8"/>
    <x v="0"/>
    <x v="56"/>
    <s v="ING. MARIO GARCÍA SAAVEDRA"/>
    <x v="25"/>
    <s v="CVJ"/>
    <x v="1"/>
    <n v="19"/>
    <d v="2015-01-13T00:00:00"/>
    <d v="2015-01-13T00:00:00"/>
    <n v="1"/>
    <x v="0"/>
    <m/>
    <n v="4"/>
    <n v="1"/>
  </r>
  <r>
    <s v="4"/>
    <x v="151"/>
    <x v="22"/>
    <x v="0"/>
    <x v="31"/>
    <s v="ING. DANIEL VARGAS HERNÁNDEZ"/>
    <x v="0"/>
    <s v="CVJ"/>
    <x v="1"/>
    <s v="Baja"/>
    <d v="2015-01-27T00:00:00"/>
    <d v="2015-01-27T00:00:00"/>
    <n v="1"/>
    <x v="0"/>
    <m/>
    <n v="14"/>
    <n v="1"/>
  </r>
  <r>
    <s v="3"/>
    <x v="151"/>
    <x v="3"/>
    <x v="0"/>
    <x v="57"/>
    <s v="JULIO LÓPEZ PÉREZ"/>
    <x v="0"/>
    <s v="GGV"/>
    <x v="1"/>
    <n v="7"/>
    <d v="2015-01-08T00:00:00"/>
    <d v="2015-01-08T00:00:00"/>
    <n v="1"/>
    <x v="0"/>
    <m/>
    <n v="1"/>
    <n v="1"/>
  </r>
  <r>
    <s v="2"/>
    <x v="152"/>
    <x v="10"/>
    <x v="0"/>
    <x v="39"/>
    <s v="ING. DANIEL FLORES ILLESCAS"/>
    <x v="4"/>
    <s v="FPO"/>
    <x v="1"/>
    <s v="Baja"/>
    <d v="2015-02-05T00:00:00"/>
    <d v="2015-02-05T00:00:00"/>
    <n v="1"/>
    <x v="0"/>
    <m/>
    <n v="23"/>
    <n v="1"/>
  </r>
  <r>
    <s v="1"/>
    <x v="153"/>
    <x v="3"/>
    <x v="0"/>
    <x v="19"/>
    <s v="ING. ALEJANDRO BERMEJO "/>
    <x v="0"/>
    <s v="GGV"/>
    <x v="1"/>
    <n v="21"/>
    <d v="2015-01-12T00:00:00"/>
    <d v="2015-01-12T00:00:00"/>
    <n v="1"/>
    <x v="0"/>
    <m/>
    <n v="6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amilia de Equipos Anual" cacheId="0" applyNumberFormats="0" applyBorderFormats="0" applyFontFormats="0" applyPatternFormats="0" applyAlignmentFormats="0" applyWidthHeightFormats="1" dataCaption="Valores" grandTotalCaption="Total " updatedVersion="5" minRefreshableVersion="3" showCalcMbrs="0" useAutoFormatting="1" itemPrintTitles="1" createdVersion="3" indent="0" outline="1" outlineData="1" multipleFieldFilters="0" chartFormat="138" rowHeaderCaption="Familia de Equipo" fieldListSortAscending="1">
  <location ref="B3:C30" firstHeaderRow="1" firstDataRow="1" firstDataCol="1"/>
  <pivotFields count="17">
    <pivotField showAll="0" defaultSubtotal="0"/>
    <pivotField numFmtId="165" multipleItemSelectionAllowed="1" showAll="0"/>
    <pivotField showAll="0"/>
    <pivotField showAll="0"/>
    <pivotField showAll="0"/>
    <pivotField showAll="0"/>
    <pivotField axis="axisRow" showAll="0" sortType="ascending">
      <items count="49">
        <item x="15"/>
        <item x="8"/>
        <item m="1" x="45"/>
        <item x="16"/>
        <item x="24"/>
        <item x="21"/>
        <item x="1"/>
        <item m="1" x="31"/>
        <item m="1" x="42"/>
        <item x="12"/>
        <item x="19"/>
        <item x="17"/>
        <item m="1" x="37"/>
        <item x="14"/>
        <item m="1" x="38"/>
        <item x="9"/>
        <item m="1" x="46"/>
        <item m="1" x="35"/>
        <item m="1" x="34"/>
        <item m="1" x="28"/>
        <item x="18"/>
        <item x="13"/>
        <item m="1" x="29"/>
        <item x="6"/>
        <item m="1" x="44"/>
        <item x="20"/>
        <item x="11"/>
        <item m="1" x="33"/>
        <item x="25"/>
        <item m="1" x="36"/>
        <item x="23"/>
        <item x="10"/>
        <item x="4"/>
        <item x="5"/>
        <item m="1" x="47"/>
        <item m="1" x="39"/>
        <item m="1" x="43"/>
        <item m="1" x="30"/>
        <item x="2"/>
        <item x="3"/>
        <item m="1" x="41"/>
        <item x="22"/>
        <item x="0"/>
        <item m="1" x="32"/>
        <item m="1" x="27"/>
        <item x="7"/>
        <item m="1" x="40"/>
        <item m="1" x="26"/>
        <item t="default"/>
      </items>
    </pivotField>
    <pivotField showAll="0"/>
    <pivotField showAll="0"/>
    <pivotField showAll="0"/>
    <pivotField showAll="0"/>
    <pivotField showAll="0" defaultSubtotal="0"/>
    <pivotField numFmtId="1" showAll="0" defaultSubtotal="0"/>
    <pivotField showAll="0" defaultSubtotal="0"/>
    <pivotField showAll="0"/>
    <pivotField numFmtId="1" showAll="0"/>
    <pivotField dataField="1" numFmtId="1" showAll="0"/>
  </pivotFields>
  <rowFields count="1">
    <field x="6"/>
  </rowFields>
  <rowItems count="27">
    <i>
      <x/>
    </i>
    <i>
      <x v="1"/>
    </i>
    <i>
      <x v="3"/>
    </i>
    <i>
      <x v="4"/>
    </i>
    <i>
      <x v="5"/>
    </i>
    <i>
      <x v="6"/>
    </i>
    <i>
      <x v="9"/>
    </i>
    <i>
      <x v="10"/>
    </i>
    <i>
      <x v="11"/>
    </i>
    <i>
      <x v="13"/>
    </i>
    <i>
      <x v="15"/>
    </i>
    <i>
      <x v="20"/>
    </i>
    <i>
      <x v="21"/>
    </i>
    <i>
      <x v="23"/>
    </i>
    <i>
      <x v="25"/>
    </i>
    <i>
      <x v="26"/>
    </i>
    <i>
      <x v="28"/>
    </i>
    <i>
      <x v="30"/>
    </i>
    <i>
      <x v="31"/>
    </i>
    <i>
      <x v="32"/>
    </i>
    <i>
      <x v="33"/>
    </i>
    <i>
      <x v="38"/>
    </i>
    <i>
      <x v="39"/>
    </i>
    <i>
      <x v="41"/>
    </i>
    <i>
      <x v="42"/>
    </i>
    <i>
      <x v="45"/>
    </i>
    <i t="grand">
      <x/>
    </i>
  </rowItems>
  <colItems count="1">
    <i/>
  </colItems>
  <dataFields count="1">
    <dataField name="SAO'S Atendidos" fld="16" baseField="0" baseItem="0"/>
  </dataFields>
  <formats count="5">
    <format dxfId="20">
      <pivotArea dataOnly="0" labelOnly="1" outline="0" axis="axisValues" fieldPosition="0"/>
    </format>
    <format dxfId="19">
      <pivotArea dataOnly="0" labelOnly="1" outline="0" axis="axisValues" fieldPosition="0"/>
    </format>
    <format dxfId="18">
      <pivotArea dataOnly="0" labelOnly="1" outline="0" axis="axisValues" fieldPosition="0"/>
    </format>
    <format dxfId="17">
      <pivotArea field="6" type="button" dataOnly="0" labelOnly="1" outline="0" axis="axisRow" fieldPosition="0"/>
    </format>
    <format dxfId="16">
      <pivotArea field="6" type="button" dataOnly="0" labelOnly="1" outline="0" axis="axisRow" fieldPosition="0"/>
    </format>
  </format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CANTIDAD DE SAO'S POR PROVEEDOOR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rowHeaderCaption="Empresa" fieldListSortAscending="1">
  <location ref="G39:H98" firstHeaderRow="1" firstDataRow="1" firstDataCol="1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81"/>
        <item m="1" x="541"/>
        <item m="1" x="269"/>
        <item m="1" x="529"/>
        <item m="1" x="256"/>
        <item m="1" x="234"/>
        <item m="1" x="301"/>
        <item m="1" x="558"/>
        <item m="1" x="337"/>
        <item m="1" x="584"/>
        <item m="1" x="236"/>
        <item m="1" x="215"/>
        <item m="1" x="207"/>
        <item m="1" x="480"/>
        <item m="1" x="517"/>
        <item m="1" x="245"/>
        <item m="1" x="505"/>
        <item m="1" x="282"/>
        <item m="1" x="542"/>
        <item m="1" x="271"/>
        <item m="1" x="574"/>
        <item m="1" x="549"/>
        <item m="1" x="316"/>
        <item m="1" x="237"/>
        <item m="1" x="490"/>
        <item m="1" x="625"/>
        <item m="1" x="361"/>
        <item m="1" x="610"/>
        <item m="1" x="350"/>
        <item m="1" x="325"/>
        <item m="1" x="585"/>
        <item m="1" x="506"/>
        <item m="1" x="340"/>
        <item m="1" x="596"/>
        <item m="1" x="327"/>
        <item m="1" x="587"/>
        <item m="1" x="317"/>
        <item m="1" x="562"/>
        <item m="1" x="292"/>
        <item m="1" x="544"/>
        <item m="1" x="552"/>
        <item m="1" x="283"/>
        <item m="1" x="518"/>
        <item m="1" x="258"/>
        <item m="1" x="374"/>
        <item m="1" x="627"/>
        <item m="1" x="612"/>
        <item m="1" x="363"/>
        <item m="1" x="260"/>
        <item m="1" x="554"/>
        <item m="1" x="275"/>
        <item m="1" x="533"/>
        <item m="1" x="294"/>
        <item m="1" x="564"/>
        <item m="1" x="307"/>
        <item m="1" x="605"/>
        <item m="1" x="353"/>
        <item m="1" x="341"/>
        <item m="1" x="328"/>
        <item m="1" x="385"/>
        <item m="1" x="375"/>
        <item m="1" x="666"/>
        <item m="1" x="402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showAll="0"/>
    <pivotField showAll="0"/>
    <pivotField axis="axisRow" showAll="0" sortType="descending">
      <items count="175">
        <item m="1" x="60"/>
        <item m="1" x="82"/>
        <item m="1" x="116"/>
        <item x="16"/>
        <item m="1" x="101"/>
        <item m="1" x="99"/>
        <item m="1" x="66"/>
        <item m="1" x="158"/>
        <item x="21"/>
        <item x="37"/>
        <item m="1" x="128"/>
        <item m="1" x="67"/>
        <item m="1" x="75"/>
        <item m="1" x="98"/>
        <item x="12"/>
        <item x="43"/>
        <item m="1" x="131"/>
        <item m="1" x="122"/>
        <item m="1" x="106"/>
        <item m="1" x="138"/>
        <item m="1" x="165"/>
        <item x="27"/>
        <item m="1" x="73"/>
        <item m="1" x="127"/>
        <item m="1" x="104"/>
        <item m="1" x="91"/>
        <item m="1" x="84"/>
        <item x="31"/>
        <item m="1" x="151"/>
        <item x="44"/>
        <item m="1" x="107"/>
        <item m="1" x="156"/>
        <item m="1" x="169"/>
        <item x="57"/>
        <item m="1" x="132"/>
        <item m="1" x="147"/>
        <item x="13"/>
        <item m="1" x="86"/>
        <item m="1" x="161"/>
        <item m="1" x="81"/>
        <item x="33"/>
        <item m="1" x="111"/>
        <item m="1" x="140"/>
        <item m="1" x="144"/>
        <item m="1" x="103"/>
        <item m="1" x="109"/>
        <item x="14"/>
        <item m="1" x="87"/>
        <item x="52"/>
        <item x="34"/>
        <item m="1" x="135"/>
        <item m="1" x="136"/>
        <item m="1" x="65"/>
        <item m="1" x="118"/>
        <item m="1" x="93"/>
        <item m="1" x="72"/>
        <item x="20"/>
        <item m="1" x="120"/>
        <item m="1" x="123"/>
        <item m="1" x="90"/>
        <item m="1" x="59"/>
        <item m="1" x="126"/>
        <item m="1" x="125"/>
        <item x="9"/>
        <item m="1" x="130"/>
        <item x="29"/>
        <item m="1" x="160"/>
        <item m="1" x="137"/>
        <item x="55"/>
        <item m="1" x="76"/>
        <item m="1" x="102"/>
        <item x="3"/>
        <item m="1" x="58"/>
        <item m="1" x="68"/>
        <item m="1" x="154"/>
        <item x="53"/>
        <item m="1" x="166"/>
        <item m="1" x="61"/>
        <item x="25"/>
        <item m="1" x="71"/>
        <item m="1" x="117"/>
        <item m="1" x="108"/>
        <item m="1" x="114"/>
        <item m="1" x="79"/>
        <item x="8"/>
        <item m="1" x="100"/>
        <item m="1" x="152"/>
        <item m="1" x="171"/>
        <item m="1" x="159"/>
        <item m="1" x="80"/>
        <item m="1" x="96"/>
        <item x="39"/>
        <item m="1" x="149"/>
        <item m="1" x="83"/>
        <item m="1" x="64"/>
        <item m="1" x="78"/>
        <item m="1" x="172"/>
        <item m="1" x="146"/>
        <item m="1" x="168"/>
        <item m="1" x="115"/>
        <item x="18"/>
        <item m="1" x="155"/>
        <item x="42"/>
        <item x="1"/>
        <item m="1" x="150"/>
        <item m="1" x="63"/>
        <item m="1" x="70"/>
        <item m="1" x="92"/>
        <item m="1" x="157"/>
        <item x="19"/>
        <item m="1" x="94"/>
        <item m="1" x="145"/>
        <item m="1" x="124"/>
        <item m="1" x="113"/>
        <item x="11"/>
        <item m="1" x="62"/>
        <item m="1" x="112"/>
        <item m="1" x="153"/>
        <item x="48"/>
        <item x="54"/>
        <item x="0"/>
        <item x="47"/>
        <item m="1" x="164"/>
        <item m="1" x="121"/>
        <item x="35"/>
        <item x="5"/>
        <item m="1" x="105"/>
        <item m="1" x="74"/>
        <item m="1" x="85"/>
        <item m="1" x="170"/>
        <item m="1" x="143"/>
        <item m="1" x="142"/>
        <item x="22"/>
        <item m="1" x="95"/>
        <item m="1" x="119"/>
        <item m="1" x="110"/>
        <item m="1" x="69"/>
        <item x="36"/>
        <item m="1" x="97"/>
        <item m="1" x="163"/>
        <item m="1" x="173"/>
        <item m="1" x="134"/>
        <item m="1" x="77"/>
        <item m="1" x="88"/>
        <item x="2"/>
        <item m="1" x="139"/>
        <item m="1" x="133"/>
        <item x="56"/>
        <item m="1" x="89"/>
        <item m="1" x="167"/>
        <item x="17"/>
        <item m="1" x="129"/>
        <item m="1" x="162"/>
        <item m="1" x="148"/>
        <item x="6"/>
        <item m="1" x="141"/>
        <item x="40"/>
        <item x="4"/>
        <item x="38"/>
        <item x="41"/>
        <item x="45"/>
        <item x="46"/>
        <item x="49"/>
        <item x="50"/>
        <item x="51"/>
        <item x="28"/>
        <item x="24"/>
        <item x="30"/>
        <item x="32"/>
        <item x="7"/>
        <item x="10"/>
        <item x="15"/>
        <item x="23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numFmtId="1" showAll="0"/>
    <pivotField dataField="1" numFmtId="1" showAll="0"/>
  </pivotFields>
  <rowFields count="1">
    <field x="4"/>
  </rowFields>
  <rowItems count="59">
    <i>
      <x v="71"/>
    </i>
    <i>
      <x v="114"/>
    </i>
    <i>
      <x v="63"/>
    </i>
    <i>
      <x v="3"/>
    </i>
    <i>
      <x v="125"/>
    </i>
    <i>
      <x v="154"/>
    </i>
    <i>
      <x v="109"/>
    </i>
    <i>
      <x v="36"/>
    </i>
    <i>
      <x v="14"/>
    </i>
    <i>
      <x v="21"/>
    </i>
    <i>
      <x v="144"/>
    </i>
    <i>
      <x v="132"/>
    </i>
    <i>
      <x v="137"/>
    </i>
    <i>
      <x v="103"/>
    </i>
    <i>
      <x v="157"/>
    </i>
    <i>
      <x v="124"/>
    </i>
    <i>
      <x v="49"/>
    </i>
    <i>
      <x v="56"/>
    </i>
    <i>
      <x v="27"/>
    </i>
    <i>
      <x v="161"/>
    </i>
    <i>
      <x v="158"/>
    </i>
    <i>
      <x v="78"/>
    </i>
    <i>
      <x v="171"/>
    </i>
    <i>
      <x v="29"/>
    </i>
    <i>
      <x v="166"/>
    </i>
    <i>
      <x v="91"/>
    </i>
    <i>
      <x v="75"/>
    </i>
    <i>
      <x v="48"/>
    </i>
    <i>
      <x v="119"/>
    </i>
    <i>
      <x v="121"/>
    </i>
    <i>
      <x v="8"/>
    </i>
    <i>
      <x v="84"/>
    </i>
    <i>
      <x v="46"/>
    </i>
    <i>
      <x v="120"/>
    </i>
    <i>
      <x v="165"/>
    </i>
    <i>
      <x v="9"/>
    </i>
    <i>
      <x v="169"/>
    </i>
    <i>
      <x v="40"/>
    </i>
    <i>
      <x v="163"/>
    </i>
    <i>
      <x v="33"/>
    </i>
    <i>
      <x v="167"/>
    </i>
    <i>
      <x v="147"/>
    </i>
    <i>
      <x v="102"/>
    </i>
    <i>
      <x v="150"/>
    </i>
    <i>
      <x v="162"/>
    </i>
    <i>
      <x v="173"/>
    </i>
    <i>
      <x v="164"/>
    </i>
    <i>
      <x v="156"/>
    </i>
    <i>
      <x v="100"/>
    </i>
    <i>
      <x v="65"/>
    </i>
    <i>
      <x v="168"/>
    </i>
    <i>
      <x v="15"/>
    </i>
    <i>
      <x v="170"/>
    </i>
    <i>
      <x v="159"/>
    </i>
    <i>
      <x v="172"/>
    </i>
    <i>
      <x v="160"/>
    </i>
    <i>
      <x v="68"/>
    </i>
    <i>
      <x v="118"/>
    </i>
    <i t="grand">
      <x/>
    </i>
  </rowItems>
  <colItems count="1">
    <i/>
  </colItems>
  <pageFields count="1">
    <pageField fld="1" hier="-1"/>
  </pageFields>
  <dataFields count="1">
    <dataField name="SAO'S Atendidos" fld="16" baseField="0" baseItem="0"/>
  </dataFields>
  <formats count="2">
    <format dxfId="1">
      <pivotArea field="4" type="button" dataOnly="0" labelOnly="1" outline="0" axis="axisRow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LANES PILOTO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rowHeaderCaption="Plan Piloto" fieldListSortAscending="1">
  <location ref="J48:K51" firstHeaderRow="1" firstDataRow="1" firstDataCol="1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34"/>
        <item m="1" x="256"/>
        <item m="1" x="529"/>
        <item m="1" x="269"/>
        <item m="1" x="541"/>
        <item m="1" x="281"/>
        <item m="1" x="558"/>
        <item m="1" x="301"/>
        <item m="1" x="584"/>
        <item m="1" x="337"/>
        <item m="1" x="207"/>
        <item m="1" x="480"/>
        <item m="1" x="215"/>
        <item m="1" x="236"/>
        <item m="1" x="505"/>
        <item m="1" x="245"/>
        <item m="1" x="517"/>
        <item m="1" x="271"/>
        <item m="1" x="542"/>
        <item m="1" x="282"/>
        <item m="1" x="549"/>
        <item m="1" x="574"/>
        <item m="1" x="316"/>
        <item m="1" x="585"/>
        <item m="1" x="325"/>
        <item m="1" x="350"/>
        <item m="1" x="610"/>
        <item m="1" x="361"/>
        <item m="1" x="625"/>
        <item m="1" x="490"/>
        <item m="1" x="237"/>
        <item m="1" x="506"/>
        <item m="1" x="518"/>
        <item m="1" x="258"/>
        <item m="1" x="544"/>
        <item m="1" x="283"/>
        <item m="1" x="552"/>
        <item m="1" x="292"/>
        <item m="1" x="562"/>
        <item m="1" x="317"/>
        <item m="1" x="587"/>
        <item m="1" x="327"/>
        <item m="1" x="596"/>
        <item m="1" x="340"/>
        <item m="1" x="612"/>
        <item m="1" x="363"/>
        <item m="1" x="627"/>
        <item m="1" x="374"/>
        <item m="1" x="260"/>
        <item m="1" x="533"/>
        <item m="1" x="275"/>
        <item m="1" x="554"/>
        <item m="1" x="294"/>
        <item m="1" x="564"/>
        <item m="1" x="307"/>
        <item m="1" x="328"/>
        <item m="1" x="341"/>
        <item m="1" x="605"/>
        <item m="1" x="353"/>
        <item m="1" x="375"/>
        <item m="1" x="385"/>
        <item m="1" x="402"/>
        <item m="1" x="666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 defaultSubtotal="0">
      <items count="3">
        <item x="0"/>
        <item x="1"/>
        <item m="1" x="2"/>
      </items>
    </pivotField>
    <pivotField showAll="0"/>
    <pivotField numFmtId="1" showAll="0"/>
    <pivotField dataField="1" numFmtId="1" showAll="0"/>
  </pivotFields>
  <rowFields count="1">
    <field x="13"/>
  </rowFields>
  <rowItems count="3">
    <i>
      <x/>
    </i>
    <i>
      <x v="1"/>
    </i>
    <i t="grand">
      <x/>
    </i>
  </rowItems>
  <colItems count="1">
    <i/>
  </colItems>
  <pageFields count="1">
    <pageField fld="1" hier="-1"/>
  </pageFields>
  <dataFields count="1">
    <dataField name="SAO'S Atendidos" fld="16" baseField="0" baseItem="0"/>
  </dataFields>
  <formats count="2">
    <format dxfId="3">
      <pivotArea dataOnly="0" labelOnly="1" outline="0" axis="axisValues" fieldPosition="0"/>
    </format>
    <format dxfId="2">
      <pivotArea field="13" type="button" dataOnly="0" labelOnly="1" outline="0" axis="axisRow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FAMILIA CON MAYOR NÚMERO DE SAO'S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rowHeaderCaption="Familia con más SAO's" fieldListSortAscending="1">
  <location ref="P39:Q153" firstHeaderRow="1" firstDataRow="1" firstDataCol="1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81"/>
        <item m="1" x="541"/>
        <item m="1" x="269"/>
        <item m="1" x="529"/>
        <item m="1" x="256"/>
        <item m="1" x="234"/>
        <item m="1" x="301"/>
        <item m="1" x="558"/>
        <item m="1" x="337"/>
        <item m="1" x="584"/>
        <item m="1" x="236"/>
        <item m="1" x="215"/>
        <item m="1" x="207"/>
        <item m="1" x="480"/>
        <item m="1" x="517"/>
        <item m="1" x="245"/>
        <item m="1" x="505"/>
        <item m="1" x="282"/>
        <item m="1" x="542"/>
        <item m="1" x="271"/>
        <item m="1" x="574"/>
        <item m="1" x="549"/>
        <item m="1" x="316"/>
        <item m="1" x="237"/>
        <item m="1" x="490"/>
        <item m="1" x="625"/>
        <item m="1" x="361"/>
        <item m="1" x="610"/>
        <item m="1" x="350"/>
        <item m="1" x="325"/>
        <item m="1" x="585"/>
        <item m="1" x="506"/>
        <item m="1" x="340"/>
        <item m="1" x="596"/>
        <item m="1" x="327"/>
        <item m="1" x="587"/>
        <item m="1" x="317"/>
        <item m="1" x="562"/>
        <item m="1" x="292"/>
        <item m="1" x="544"/>
        <item m="1" x="552"/>
        <item m="1" x="283"/>
        <item m="1" x="518"/>
        <item m="1" x="258"/>
        <item m="1" x="374"/>
        <item m="1" x="627"/>
        <item m="1" x="612"/>
        <item m="1" x="363"/>
        <item m="1" x="260"/>
        <item m="1" x="554"/>
        <item m="1" x="275"/>
        <item m="1" x="533"/>
        <item m="1" x="294"/>
        <item m="1" x="564"/>
        <item m="1" x="307"/>
        <item m="1" x="605"/>
        <item m="1" x="353"/>
        <item m="1" x="341"/>
        <item m="1" x="328"/>
        <item m="1" x="385"/>
        <item m="1" x="375"/>
        <item m="1" x="666"/>
        <item m="1" x="402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showAll="0"/>
    <pivotField showAll="0"/>
    <pivotField axis="axisRow" showAll="0" sortType="ascending">
      <items count="175">
        <item m="1" x="141"/>
        <item x="6"/>
        <item m="1" x="148"/>
        <item m="1" x="162"/>
        <item m="1" x="129"/>
        <item x="17"/>
        <item m="1" x="167"/>
        <item m="1" x="89"/>
        <item x="50"/>
        <item x="56"/>
        <item m="1" x="133"/>
        <item m="1" x="139"/>
        <item x="2"/>
        <item m="1" x="88"/>
        <item m="1" x="77"/>
        <item m="1" x="134"/>
        <item m="1" x="173"/>
        <item m="1" x="163"/>
        <item m="1" x="97"/>
        <item x="36"/>
        <item m="1" x="69"/>
        <item m="1" x="110"/>
        <item m="1" x="119"/>
        <item m="1" x="95"/>
        <item x="22"/>
        <item m="1" x="142"/>
        <item m="1" x="143"/>
        <item m="1" x="170"/>
        <item m="1" x="85"/>
        <item m="1" x="74"/>
        <item m="1" x="105"/>
        <item x="5"/>
        <item x="35"/>
        <item m="1" x="121"/>
        <item m="1" x="164"/>
        <item x="47"/>
        <item x="7"/>
        <item x="0"/>
        <item x="4"/>
        <item x="54"/>
        <item x="48"/>
        <item m="1" x="153"/>
        <item m="1" x="112"/>
        <item m="1" x="62"/>
        <item x="23"/>
        <item x="11"/>
        <item m="1" x="113"/>
        <item m="1" x="124"/>
        <item m="1" x="145"/>
        <item m="1" x="94"/>
        <item x="19"/>
        <item m="1" x="157"/>
        <item m="1" x="92"/>
        <item m="1" x="70"/>
        <item m="1" x="63"/>
        <item m="1" x="150"/>
        <item x="1"/>
        <item x="42"/>
        <item m="1" x="155"/>
        <item x="18"/>
        <item m="1" x="115"/>
        <item m="1" x="168"/>
        <item m="1" x="146"/>
        <item m="1" x="172"/>
        <item m="1" x="78"/>
        <item m="1" x="64"/>
        <item m="1" x="83"/>
        <item m="1" x="149"/>
        <item x="39"/>
        <item m="1" x="96"/>
        <item m="1" x="80"/>
        <item x="45"/>
        <item m="1" x="159"/>
        <item m="1" x="171"/>
        <item x="32"/>
        <item m="1" x="152"/>
        <item m="1" x="100"/>
        <item x="24"/>
        <item x="8"/>
        <item m="1" x="79"/>
        <item m="1" x="114"/>
        <item m="1" x="108"/>
        <item m="1" x="117"/>
        <item m="1" x="71"/>
        <item x="25"/>
        <item m="1" x="61"/>
        <item x="51"/>
        <item m="1" x="166"/>
        <item x="53"/>
        <item m="1" x="154"/>
        <item m="1" x="68"/>
        <item m="1" x="58"/>
        <item x="3"/>
        <item x="30"/>
        <item x="26"/>
        <item m="1" x="102"/>
        <item m="1" x="76"/>
        <item x="55"/>
        <item m="1" x="137"/>
        <item m="1" x="160"/>
        <item x="29"/>
        <item m="1" x="130"/>
        <item x="9"/>
        <item m="1" x="125"/>
        <item m="1" x="126"/>
        <item m="1" x="59"/>
        <item m="1" x="90"/>
        <item m="1" x="123"/>
        <item m="1" x="120"/>
        <item x="20"/>
        <item m="1" x="72"/>
        <item m="1" x="93"/>
        <item m="1" x="118"/>
        <item m="1" x="65"/>
        <item m="1" x="136"/>
        <item x="40"/>
        <item m="1" x="135"/>
        <item x="34"/>
        <item x="52"/>
        <item m="1" x="87"/>
        <item x="14"/>
        <item m="1" x="109"/>
        <item m="1" x="103"/>
        <item x="41"/>
        <item m="1" x="144"/>
        <item m="1" x="140"/>
        <item m="1" x="111"/>
        <item x="33"/>
        <item m="1" x="81"/>
        <item m="1" x="161"/>
        <item m="1" x="86"/>
        <item x="13"/>
        <item m="1" x="147"/>
        <item m="1" x="132"/>
        <item x="57"/>
        <item x="15"/>
        <item m="1" x="169"/>
        <item m="1" x="156"/>
        <item m="1" x="107"/>
        <item x="44"/>
        <item m="1" x="151"/>
        <item x="31"/>
        <item m="1" x="84"/>
        <item m="1" x="91"/>
        <item m="1" x="104"/>
        <item m="1" x="127"/>
        <item m="1" x="73"/>
        <item x="27"/>
        <item m="1" x="165"/>
        <item m="1" x="138"/>
        <item m="1" x="106"/>
        <item m="1" x="122"/>
        <item x="28"/>
        <item m="1" x="131"/>
        <item x="43"/>
        <item x="12"/>
        <item x="46"/>
        <item m="1" x="98"/>
        <item m="1" x="75"/>
        <item x="49"/>
        <item x="10"/>
        <item m="1" x="67"/>
        <item m="1" x="128"/>
        <item x="37"/>
        <item x="21"/>
        <item m="1" x="158"/>
        <item m="1" x="66"/>
        <item m="1" x="99"/>
        <item x="38"/>
        <item m="1" x="101"/>
        <item x="16"/>
        <item m="1" x="116"/>
        <item m="1" x="82"/>
        <item m="1" x="60"/>
        <item t="default"/>
      </items>
    </pivotField>
    <pivotField showAll="0"/>
    <pivotField axis="axisRow" showAll="0">
      <items count="49">
        <item x="15"/>
        <item x="8"/>
        <item m="1" x="45"/>
        <item x="16"/>
        <item x="1"/>
        <item m="1" x="31"/>
        <item m="1" x="42"/>
        <item x="14"/>
        <item x="9"/>
        <item m="1" x="28"/>
        <item x="13"/>
        <item x="6"/>
        <item x="10"/>
        <item x="4"/>
        <item m="1" x="47"/>
        <item m="1" x="39"/>
        <item x="2"/>
        <item x="3"/>
        <item m="1" x="41"/>
        <item x="0"/>
        <item x="7"/>
        <item m="1" x="40"/>
        <item m="1" x="34"/>
        <item m="1" x="44"/>
        <item m="1" x="32"/>
        <item x="12"/>
        <item m="1" x="37"/>
        <item m="1" x="33"/>
        <item m="1" x="27"/>
        <item m="1" x="36"/>
        <item m="1" x="29"/>
        <item m="1" x="35"/>
        <item x="5"/>
        <item m="1" x="46"/>
        <item m="1" x="43"/>
        <item m="1" x="38"/>
        <item x="11"/>
        <item m="1" x="26"/>
        <item m="1" x="30"/>
        <item x="25"/>
        <item x="23"/>
        <item x="24"/>
        <item x="22"/>
        <item x="17"/>
        <item x="18"/>
        <item x="19"/>
        <item x="20"/>
        <item x="21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numFmtId="1" showAll="0"/>
    <pivotField dataField="1" numFmtId="1" showAll="0"/>
  </pivotFields>
  <rowFields count="2">
    <field x="6"/>
    <field x="4"/>
  </rowFields>
  <rowItems count="114">
    <i>
      <x/>
    </i>
    <i r="1">
      <x v="56"/>
    </i>
    <i r="1">
      <x v="88"/>
    </i>
    <i r="1">
      <x v="102"/>
    </i>
    <i r="1">
      <x v="117"/>
    </i>
    <i>
      <x v="1"/>
    </i>
    <i r="1">
      <x v="88"/>
    </i>
    <i r="1">
      <x v="109"/>
    </i>
    <i r="1">
      <x v="147"/>
    </i>
    <i>
      <x v="3"/>
    </i>
    <i r="1">
      <x v="1"/>
    </i>
    <i r="1">
      <x v="12"/>
    </i>
    <i r="1">
      <x v="35"/>
    </i>
    <i r="1">
      <x v="115"/>
    </i>
    <i r="1">
      <x v="154"/>
    </i>
    <i>
      <x v="4"/>
    </i>
    <i r="1">
      <x v="12"/>
    </i>
    <i r="1">
      <x v="44"/>
    </i>
    <i r="1">
      <x v="100"/>
    </i>
    <i>
      <x v="7"/>
    </i>
    <i r="1">
      <x v="117"/>
    </i>
    <i>
      <x v="8"/>
    </i>
    <i r="1">
      <x v="56"/>
    </i>
    <i r="1">
      <x v="77"/>
    </i>
    <i r="1">
      <x v="102"/>
    </i>
    <i r="1">
      <x v="139"/>
    </i>
    <i r="1">
      <x v="170"/>
    </i>
    <i>
      <x v="10"/>
    </i>
    <i r="1">
      <x v="74"/>
    </i>
    <i r="1">
      <x v="163"/>
    </i>
    <i>
      <x v="11"/>
    </i>
    <i r="1">
      <x v="1"/>
    </i>
    <i r="1">
      <x v="5"/>
    </i>
    <i r="1">
      <x v="147"/>
    </i>
    <i>
      <x v="12"/>
    </i>
    <i r="1">
      <x v="1"/>
    </i>
    <i r="1">
      <x v="12"/>
    </i>
    <i r="1">
      <x v="56"/>
    </i>
    <i r="1">
      <x v="135"/>
    </i>
    <i r="1">
      <x v="168"/>
    </i>
    <i>
      <x v="13"/>
    </i>
    <i r="1">
      <x v="24"/>
    </i>
    <i r="1">
      <x v="68"/>
    </i>
    <i r="1">
      <x v="120"/>
    </i>
    <i r="1">
      <x v="168"/>
    </i>
    <i>
      <x v="16"/>
    </i>
    <i r="1">
      <x v="1"/>
    </i>
    <i r="1">
      <x v="147"/>
    </i>
    <i>
      <x v="17"/>
    </i>
    <i r="1">
      <x v="78"/>
    </i>
    <i r="1">
      <x v="84"/>
    </i>
    <i r="1">
      <x v="127"/>
    </i>
    <i>
      <x v="19"/>
    </i>
    <i r="1">
      <x v="12"/>
    </i>
    <i r="1">
      <x v="31"/>
    </i>
    <i r="1">
      <x v="32"/>
    </i>
    <i r="1">
      <x v="36"/>
    </i>
    <i r="1">
      <x v="37"/>
    </i>
    <i r="1">
      <x v="38"/>
    </i>
    <i r="1">
      <x v="39"/>
    </i>
    <i r="1">
      <x v="45"/>
    </i>
    <i r="1">
      <x v="50"/>
    </i>
    <i r="1">
      <x v="56"/>
    </i>
    <i r="1">
      <x v="71"/>
    </i>
    <i r="1">
      <x v="92"/>
    </i>
    <i r="1">
      <x v="93"/>
    </i>
    <i r="1">
      <x v="94"/>
    </i>
    <i r="1">
      <x v="97"/>
    </i>
    <i r="1">
      <x v="102"/>
    </i>
    <i r="1">
      <x v="131"/>
    </i>
    <i r="1">
      <x v="134"/>
    </i>
    <i r="1">
      <x v="141"/>
    </i>
    <i r="1">
      <x v="147"/>
    </i>
    <i r="1">
      <x v="155"/>
    </i>
    <i r="1">
      <x v="160"/>
    </i>
    <i r="1">
      <x v="164"/>
    </i>
    <i r="1">
      <x v="170"/>
    </i>
    <i>
      <x v="20"/>
    </i>
    <i r="1">
      <x v="40"/>
    </i>
    <i r="1">
      <x v="57"/>
    </i>
    <i r="1">
      <x v="59"/>
    </i>
    <i r="1">
      <x v="156"/>
    </i>
    <i>
      <x v="25"/>
    </i>
    <i r="1">
      <x v="1"/>
    </i>
    <i r="1">
      <x v="45"/>
    </i>
    <i>
      <x v="32"/>
    </i>
    <i r="1">
      <x v="135"/>
    </i>
    <i r="1">
      <x v="168"/>
    </i>
    <i>
      <x v="36"/>
    </i>
    <i r="1">
      <x v="19"/>
    </i>
    <i r="1">
      <x v="118"/>
    </i>
    <i r="1">
      <x v="123"/>
    </i>
    <i r="1">
      <x v="152"/>
    </i>
    <i>
      <x v="39"/>
    </i>
    <i r="1">
      <x v="9"/>
    </i>
    <i>
      <x v="40"/>
    </i>
    <i r="1">
      <x v="12"/>
    </i>
    <i>
      <x v="41"/>
    </i>
    <i r="1">
      <x v="1"/>
    </i>
    <i>
      <x v="42"/>
    </i>
    <i r="1">
      <x v="147"/>
    </i>
    <i>
      <x v="43"/>
    </i>
    <i r="1">
      <x v="8"/>
    </i>
    <i r="1">
      <x v="159"/>
    </i>
    <i>
      <x v="44"/>
    </i>
    <i r="1">
      <x v="86"/>
    </i>
    <i>
      <x v="45"/>
    </i>
    <i r="1">
      <x v="12"/>
    </i>
    <i>
      <x v="46"/>
    </i>
    <i r="1">
      <x v="19"/>
    </i>
    <i r="1">
      <x v="118"/>
    </i>
    <i>
      <x v="47"/>
    </i>
    <i r="1">
      <x v="1"/>
    </i>
    <i t="grand">
      <x/>
    </i>
  </rowItems>
  <colItems count="1">
    <i/>
  </colItems>
  <pageFields count="1">
    <pageField fld="1" hier="-1"/>
  </pageFields>
  <dataFields count="1">
    <dataField name="SAO'S Atendidos" fld="16" baseField="0" baseItem="0"/>
  </dataFields>
  <formats count="2">
    <format dxfId="5">
      <pivotArea field="6" type="button" dataOnly="0" labelOnly="1" outline="0" axis="axisRow" fieldPosition="0"/>
    </format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IEMPO DE RESPUESTA PROMEDIO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>
  <location ref="A6:A7" firstHeaderRow="1" firstDataRow="1" firstDataCol="0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81"/>
        <item m="1" x="541"/>
        <item m="1" x="269"/>
        <item m="1" x="529"/>
        <item m="1" x="256"/>
        <item m="1" x="234"/>
        <item m="1" x="301"/>
        <item m="1" x="558"/>
        <item m="1" x="337"/>
        <item m="1" x="584"/>
        <item m="1" x="236"/>
        <item m="1" x="215"/>
        <item m="1" x="207"/>
        <item m="1" x="480"/>
        <item m="1" x="517"/>
        <item m="1" x="245"/>
        <item m="1" x="505"/>
        <item m="1" x="282"/>
        <item m="1" x="542"/>
        <item m="1" x="271"/>
        <item m="1" x="574"/>
        <item m="1" x="549"/>
        <item m="1" x="316"/>
        <item m="1" x="237"/>
        <item m="1" x="490"/>
        <item m="1" x="625"/>
        <item m="1" x="361"/>
        <item m="1" x="610"/>
        <item m="1" x="350"/>
        <item m="1" x="325"/>
        <item m="1" x="585"/>
        <item m="1" x="506"/>
        <item m="1" x="340"/>
        <item m="1" x="596"/>
        <item m="1" x="327"/>
        <item m="1" x="587"/>
        <item m="1" x="317"/>
        <item m="1" x="562"/>
        <item m="1" x="292"/>
        <item m="1" x="544"/>
        <item m="1" x="552"/>
        <item m="1" x="283"/>
        <item m="1" x="518"/>
        <item m="1" x="258"/>
        <item m="1" x="374"/>
        <item m="1" x="627"/>
        <item m="1" x="612"/>
        <item m="1" x="363"/>
        <item m="1" x="260"/>
        <item m="1" x="554"/>
        <item m="1" x="275"/>
        <item m="1" x="533"/>
        <item m="1" x="294"/>
        <item m="1" x="564"/>
        <item m="1" x="307"/>
        <item m="1" x="605"/>
        <item m="1" x="353"/>
        <item m="1" x="341"/>
        <item m="1" x="328"/>
        <item m="1" x="385"/>
        <item m="1" x="375"/>
        <item m="1" x="666"/>
        <item m="1" x="402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dataField="1" numFmtId="1" showAll="0"/>
    <pivotField numFmtId="1" showAll="0"/>
  </pivotFields>
  <rowItems count="1">
    <i/>
  </rowItems>
  <colItems count="1">
    <i/>
  </colItems>
  <pageFields count="1">
    <pageField fld="1" hier="-1"/>
  </pageFields>
  <dataFields count="1">
    <dataField name="Tiempo Promedio de Respuesta" fld="15" subtotal="average" baseField="0" baseItem="0" numFmtId="1"/>
  </dataFields>
  <formats count="3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ESPECIFICACIONES Y PROVEEDORES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rowHeaderCaption="Especificaciones y Proveedores" fieldListSortAscending="1">
  <location ref="D39:E93" firstHeaderRow="1" firstDataRow="1" firstDataCol="1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81"/>
        <item m="1" x="541"/>
        <item m="1" x="269"/>
        <item m="1" x="529"/>
        <item m="1" x="256"/>
        <item m="1" x="234"/>
        <item m="1" x="301"/>
        <item m="1" x="558"/>
        <item m="1" x="337"/>
        <item m="1" x="584"/>
        <item m="1" x="236"/>
        <item m="1" x="215"/>
        <item m="1" x="207"/>
        <item m="1" x="480"/>
        <item m="1" x="517"/>
        <item m="1" x="245"/>
        <item m="1" x="505"/>
        <item m="1" x="282"/>
        <item m="1" x="542"/>
        <item m="1" x="271"/>
        <item m="1" x="574"/>
        <item m="1" x="549"/>
        <item m="1" x="316"/>
        <item m="1" x="237"/>
        <item m="1" x="490"/>
        <item m="1" x="625"/>
        <item m="1" x="361"/>
        <item m="1" x="610"/>
        <item m="1" x="350"/>
        <item m="1" x="325"/>
        <item m="1" x="585"/>
        <item m="1" x="506"/>
        <item m="1" x="340"/>
        <item m="1" x="596"/>
        <item m="1" x="327"/>
        <item m="1" x="587"/>
        <item m="1" x="317"/>
        <item m="1" x="562"/>
        <item m="1" x="292"/>
        <item m="1" x="544"/>
        <item m="1" x="552"/>
        <item m="1" x="283"/>
        <item m="1" x="518"/>
        <item m="1" x="258"/>
        <item m="1" x="374"/>
        <item m="1" x="627"/>
        <item m="1" x="612"/>
        <item m="1" x="363"/>
        <item m="1" x="260"/>
        <item m="1" x="554"/>
        <item m="1" x="275"/>
        <item m="1" x="533"/>
        <item m="1" x="294"/>
        <item m="1" x="564"/>
        <item m="1" x="307"/>
        <item m="1" x="605"/>
        <item m="1" x="353"/>
        <item m="1" x="341"/>
        <item m="1" x="328"/>
        <item m="1" x="385"/>
        <item m="1" x="375"/>
        <item m="1" x="666"/>
        <item m="1" x="402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axis="axisRow" showAll="0" sortType="ascending">
      <items count="106">
        <item sd="0" m="1" x="98"/>
        <item m="1" x="94"/>
        <item sd="0" m="1" x="96"/>
        <item sd="0" x="25"/>
        <item sd="0" m="1" x="83"/>
        <item m="1" x="55"/>
        <item sd="0" m="1" x="86"/>
        <item sd="0" m="1" x="99"/>
        <item sd="0" m="1" x="100"/>
        <item m="1" x="74"/>
        <item m="1" x="57"/>
        <item m="1" x="79"/>
        <item m="1" x="66"/>
        <item sd="0" m="1" x="71"/>
        <item sd="0" m="1" x="81"/>
        <item sd="0" m="1" x="67"/>
        <item sd="0" m="1" x="102"/>
        <item sd="0" m="1" x="68"/>
        <item sd="0" x="26"/>
        <item sd="0" m="1" x="92"/>
        <item sd="0" x="32"/>
        <item m="1" x="65"/>
        <item sd="0" m="1" x="84"/>
        <item sd="0" x="14"/>
        <item sd="0" x="28"/>
        <item sd="0" m="1" x="89"/>
        <item m="1" x="56"/>
        <item sd="0" m="1" x="80"/>
        <item sd="0" m="1" x="104"/>
        <item sd="0" x="2"/>
        <item sd="0" m="1" x="58"/>
        <item sd="0" m="1" x="72"/>
        <item sd="0" x="16"/>
        <item sd="0" x="31"/>
        <item sd="0" x="6"/>
        <item sd="0" x="24"/>
        <item sd="0" x="4"/>
        <item sd="0" x="5"/>
        <item sd="0" x="9"/>
        <item sd="0" x="15"/>
        <item sd="0" x="20"/>
        <item sd="0" x="36"/>
        <item sd="0" x="13"/>
        <item sd="0" x="42"/>
        <item sd="0" x="46"/>
        <item sd="0" m="1" x="103"/>
        <item sd="0" x="41"/>
        <item sd="0" m="1" x="62"/>
        <item sd="0" m="1" x="82"/>
        <item sd="0" x="17"/>
        <item sd="0" x="18"/>
        <item sd="0" m="1" x="64"/>
        <item m="1" x="90"/>
        <item sd="0" m="1" x="85"/>
        <item m="1" x="53"/>
        <item sd="0" m="1" x="73"/>
        <item sd="0" x="7"/>
        <item m="1" x="95"/>
        <item sd="0" x="47"/>
        <item sd="0" x="35"/>
        <item sd="0" m="1" x="61"/>
        <item sd="0" m="1" x="69"/>
        <item m="1" x="101"/>
        <item sd="0" x="39"/>
        <item sd="0" m="1" x="75"/>
        <item sd="0" x="40"/>
        <item sd="0" x="23"/>
        <item sd="0" x="50"/>
        <item sd="0" m="1" x="93"/>
        <item sd="0" x="19"/>
        <item sd="0" x="10"/>
        <item sd="0" x="38"/>
        <item sd="0" x="34"/>
        <item x="11"/>
        <item m="1" x="76"/>
        <item sd="0" m="1" x="91"/>
        <item sd="0" x="8"/>
        <item sd="0" x="52"/>
        <item sd="0" m="1" x="63"/>
        <item sd="0" m="1" x="78"/>
        <item sd="0" x="30"/>
        <item sd="0" x="49"/>
        <item sd="0" x="43"/>
        <item sd="0" x="37"/>
        <item sd="0" m="1" x="60"/>
        <item sd="0" x="33"/>
        <item sd="0" m="1" x="87"/>
        <item sd="0" x="51"/>
        <item sd="0" m="1" x="59"/>
        <item sd="0" x="12"/>
        <item sd="0" m="1" x="77"/>
        <item sd="0" x="45"/>
        <item sd="0" x="3"/>
        <item sd="0" x="1"/>
        <item sd="0" x="22"/>
        <item sd="0" m="1" x="70"/>
        <item sd="0" x="27"/>
        <item sd="0" m="1" x="88"/>
        <item m="1" x="97"/>
        <item sd="0" x="29"/>
        <item m="1" x="54"/>
        <item x="21"/>
        <item x="44"/>
        <item x="4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ascending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numFmtId="1" showAll="0"/>
    <pivotField dataField="1" numFmtId="1" showAll="0"/>
  </pivotFields>
  <rowFields count="1">
    <field x="2"/>
  </rowFields>
  <rowItems count="54">
    <i>
      <x v="3"/>
    </i>
    <i>
      <x v="104"/>
    </i>
    <i>
      <x v="67"/>
    </i>
    <i>
      <x v="20"/>
    </i>
    <i>
      <x v="71"/>
    </i>
    <i>
      <x v="41"/>
    </i>
    <i>
      <x v="77"/>
    </i>
    <i>
      <x v="44"/>
    </i>
    <i>
      <x v="83"/>
    </i>
    <i>
      <x v="18"/>
    </i>
    <i>
      <x v="87"/>
    </i>
    <i>
      <x v="43"/>
    </i>
    <i>
      <x v="91"/>
    </i>
    <i>
      <x v="32"/>
    </i>
    <i>
      <x v="102"/>
    </i>
    <i>
      <x v="58"/>
    </i>
    <i>
      <x v="103"/>
    </i>
    <i>
      <x v="65"/>
    </i>
    <i>
      <x v="42"/>
    </i>
    <i>
      <x v="99"/>
    </i>
    <i>
      <x v="46"/>
    </i>
    <i>
      <x v="80"/>
    </i>
    <i>
      <x v="40"/>
    </i>
    <i>
      <x v="81"/>
    </i>
    <i>
      <x v="63"/>
    </i>
    <i>
      <x v="85"/>
    </i>
    <i>
      <x v="29"/>
    </i>
    <i>
      <x v="33"/>
    </i>
    <i>
      <x v="66"/>
    </i>
    <i>
      <x v="82"/>
    </i>
    <i>
      <x v="96"/>
    </i>
    <i>
      <x v="73"/>
    </i>
    <i>
      <x v="23"/>
    </i>
    <i>
      <x v="93"/>
    </i>
    <i>
      <x v="49"/>
    </i>
    <i>
      <x v="56"/>
    </i>
    <i>
      <x v="35"/>
    </i>
    <i>
      <x v="72"/>
    </i>
    <i>
      <x v="76"/>
    </i>
    <i>
      <x v="94"/>
    </i>
    <i>
      <x v="69"/>
    </i>
    <i>
      <x v="59"/>
    </i>
    <i>
      <x v="101"/>
    </i>
    <i>
      <x v="89"/>
    </i>
    <i>
      <x v="70"/>
    </i>
    <i>
      <x v="50"/>
    </i>
    <i>
      <x v="34"/>
    </i>
    <i>
      <x v="24"/>
    </i>
    <i>
      <x v="36"/>
    </i>
    <i>
      <x v="39"/>
    </i>
    <i>
      <x v="38"/>
    </i>
    <i>
      <x v="37"/>
    </i>
    <i>
      <x v="92"/>
    </i>
    <i t="grand">
      <x/>
    </i>
  </rowItems>
  <colItems count="1">
    <i/>
  </colItems>
  <pageFields count="1">
    <pageField fld="1" hier="-1"/>
  </pageFields>
  <dataFields count="1">
    <dataField name="SAO'S Atendidos" fld="16" baseField="0" baseItem="0"/>
  </dataFields>
  <formats count="2">
    <format dxfId="10">
      <pivotArea field="2" type="button" dataOnly="0" labelOnly="1" outline="0" axis="axisRow" fieldPosition="0"/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IPO DE SELLO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rowHeaderCaption="Sello">
  <location ref="J39:K44" firstHeaderRow="1" firstDataRow="1" firstDataCol="1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81"/>
        <item m="1" x="541"/>
        <item m="1" x="269"/>
        <item m="1" x="529"/>
        <item m="1" x="256"/>
        <item m="1" x="234"/>
        <item m="1" x="301"/>
        <item m="1" x="558"/>
        <item m="1" x="337"/>
        <item m="1" x="584"/>
        <item m="1" x="236"/>
        <item m="1" x="215"/>
        <item m="1" x="207"/>
        <item m="1" x="480"/>
        <item m="1" x="517"/>
        <item m="1" x="245"/>
        <item m="1" x="505"/>
        <item m="1" x="282"/>
        <item m="1" x="542"/>
        <item m="1" x="271"/>
        <item m="1" x="574"/>
        <item m="1" x="549"/>
        <item m="1" x="316"/>
        <item m="1" x="237"/>
        <item m="1" x="490"/>
        <item m="1" x="625"/>
        <item m="1" x="361"/>
        <item m="1" x="610"/>
        <item m="1" x="350"/>
        <item m="1" x="325"/>
        <item m="1" x="585"/>
        <item m="1" x="506"/>
        <item m="1" x="340"/>
        <item m="1" x="596"/>
        <item m="1" x="327"/>
        <item m="1" x="587"/>
        <item m="1" x="317"/>
        <item m="1" x="562"/>
        <item m="1" x="292"/>
        <item m="1" x="544"/>
        <item m="1" x="552"/>
        <item m="1" x="283"/>
        <item m="1" x="518"/>
        <item m="1" x="258"/>
        <item m="1" x="374"/>
        <item m="1" x="627"/>
        <item m="1" x="612"/>
        <item m="1" x="363"/>
        <item m="1" x="260"/>
        <item m="1" x="554"/>
        <item m="1" x="275"/>
        <item m="1" x="533"/>
        <item m="1" x="294"/>
        <item m="1" x="564"/>
        <item m="1" x="307"/>
        <item m="1" x="605"/>
        <item m="1" x="353"/>
        <item m="1" x="341"/>
        <item m="1" x="328"/>
        <item m="1" x="385"/>
        <item m="1" x="375"/>
        <item m="1" x="666"/>
        <item m="1" x="402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showAll="0"/>
    <pivotField axis="axisRow" showAll="0">
      <items count="19">
        <item x="1"/>
        <item x="2"/>
        <item m="1" x="5"/>
        <item x="0"/>
        <item m="1" x="9"/>
        <item m="1" x="14"/>
        <item m="1" x="6"/>
        <item m="1" x="10"/>
        <item m="1" x="17"/>
        <item m="1" x="12"/>
        <item m="1" x="7"/>
        <item m="1" x="15"/>
        <item m="1" x="11"/>
        <item m="1" x="4"/>
        <item m="1" x="13"/>
        <item m="1" x="8"/>
        <item m="1" x="16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numFmtId="1" showAll="0"/>
    <pivotField dataField="1" numFmtId="1" showAll="0"/>
  </pivotFields>
  <rowFields count="1">
    <field x="3"/>
  </rowFields>
  <rowItems count="5">
    <i>
      <x/>
    </i>
    <i>
      <x v="1"/>
    </i>
    <i>
      <x v="3"/>
    </i>
    <i>
      <x v="17"/>
    </i>
    <i t="grand">
      <x/>
    </i>
  </rowItems>
  <colItems count="1">
    <i/>
  </colItems>
  <pageFields count="1">
    <pageField fld="1" hier="-1"/>
  </pageFields>
  <dataFields count="1">
    <dataField name="SAO'S Atendidos" fld="16" baseField="0" baseItem="0"/>
  </dataFields>
  <formats count="2">
    <format dxfId="12">
      <pivotArea field="3" type="button" dataOnly="0" labelOnly="1" outline="0" axis="axisRow" fieldPosition="0"/>
    </format>
    <format dxfId="11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STATUS DE PLANOS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rowHeaderCaption="Status" fieldListSortAscending="1">
  <location ref="M39:N42" firstHeaderRow="1" firstDataRow="1" firstDataCol="1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81"/>
        <item m="1" x="541"/>
        <item m="1" x="269"/>
        <item m="1" x="529"/>
        <item m="1" x="256"/>
        <item m="1" x="234"/>
        <item m="1" x="301"/>
        <item m="1" x="558"/>
        <item m="1" x="337"/>
        <item m="1" x="584"/>
        <item m="1" x="236"/>
        <item m="1" x="215"/>
        <item m="1" x="207"/>
        <item m="1" x="480"/>
        <item m="1" x="517"/>
        <item m="1" x="245"/>
        <item m="1" x="505"/>
        <item m="1" x="282"/>
        <item m="1" x="542"/>
        <item m="1" x="271"/>
        <item m="1" x="574"/>
        <item m="1" x="549"/>
        <item m="1" x="316"/>
        <item m="1" x="237"/>
        <item m="1" x="490"/>
        <item m="1" x="625"/>
        <item m="1" x="361"/>
        <item m="1" x="610"/>
        <item m="1" x="350"/>
        <item m="1" x="325"/>
        <item m="1" x="585"/>
        <item m="1" x="506"/>
        <item m="1" x="340"/>
        <item m="1" x="596"/>
        <item m="1" x="327"/>
        <item m="1" x="587"/>
        <item m="1" x="317"/>
        <item m="1" x="562"/>
        <item m="1" x="292"/>
        <item m="1" x="544"/>
        <item m="1" x="552"/>
        <item m="1" x="283"/>
        <item m="1" x="518"/>
        <item m="1" x="258"/>
        <item m="1" x="374"/>
        <item m="1" x="627"/>
        <item m="1" x="612"/>
        <item m="1" x="363"/>
        <item m="1" x="260"/>
        <item m="1" x="554"/>
        <item m="1" x="275"/>
        <item m="1" x="533"/>
        <item m="1" x="294"/>
        <item m="1" x="564"/>
        <item m="1" x="307"/>
        <item m="1" x="605"/>
        <item m="1" x="353"/>
        <item m="1" x="341"/>
        <item m="1" x="328"/>
        <item m="1" x="385"/>
        <item m="1" x="375"/>
        <item m="1" x="666"/>
        <item m="1" x="402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ascending">
      <items count="8">
        <item x="1"/>
        <item sd="0" m="1" x="5"/>
        <item sd="0" m="1" x="2"/>
        <item m="1" x="4"/>
        <item sd="0" x="0"/>
        <item m="1" x="6"/>
        <item m="1" x="3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/>
    <pivotField numFmtId="1" showAll="0"/>
    <pivotField dataField="1" numFmtId="1" showAll="0"/>
  </pivotFields>
  <rowFields count="1">
    <field x="8"/>
  </rowFields>
  <rowItems count="3">
    <i>
      <x/>
    </i>
    <i>
      <x v="4"/>
    </i>
    <i t="grand">
      <x/>
    </i>
  </rowItems>
  <colItems count="1">
    <i/>
  </colItems>
  <pageFields count="1">
    <pageField fld="1" hier="-1"/>
  </pageFields>
  <dataFields count="1">
    <dataField name="SAO'S Atendidos" fld="16" baseField="0" baseItem="0"/>
  </dataFields>
  <formats count="2">
    <format dxfId="14">
      <pivotArea field="8" type="button" dataOnly="0" labelOnly="1" outline="0" axis="axisRow" fieldPosition="0"/>
    </format>
    <format dxfId="13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FAMILIAS ATENDIDAS POR MES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chartFormat="35" rowHeaderCaption="Familia de Equipo" fieldListSortAscending="1">
  <location ref="D6:E33" firstHeaderRow="1" firstDataRow="1" firstDataCol="1" rowPageCount="1" colPageCount="1"/>
  <pivotFields count="17">
    <pivotField showAll="0" defaultSubtotal="0"/>
    <pivotField axis="axisPage" numFmtId="167" multipleItemSelectionAllowed="1" showAll="0">
      <items count="688">
        <item m="1" x="441"/>
        <item m="1" x="173"/>
        <item m="1" x="446"/>
        <item m="1" x="449"/>
        <item m="1" x="180"/>
        <item m="1" x="454"/>
        <item m="1" x="183"/>
        <item m="1" x="194"/>
        <item m="1" x="201"/>
        <item m="1" x="475"/>
        <item m="1" x="210"/>
        <item m="1" x="491"/>
        <item m="1" x="230"/>
        <item m="1" x="241"/>
        <item m="1" x="511"/>
        <item m="1" x="263"/>
        <item m="1" x="537"/>
        <item m="1" x="447"/>
        <item m="1" x="176"/>
        <item m="1" x="448"/>
        <item m="1" x="456"/>
        <item m="1" x="184"/>
        <item m="1" x="472"/>
        <item m="1" x="203"/>
        <item m="1" x="476"/>
        <item m="1" x="211"/>
        <item m="1" x="231"/>
        <item m="1" x="502"/>
        <item m="1" x="242"/>
        <item m="1" x="512"/>
        <item m="1" x="253"/>
        <item m="1" x="538"/>
        <item m="1" x="213"/>
        <item m="1" x="483"/>
        <item m="1" x="220"/>
        <item m="1" x="494"/>
        <item m="1" x="233"/>
        <item m="1" x="526"/>
        <item m="1" x="267"/>
        <item m="1" x="289"/>
        <item m="1" x="300"/>
        <item m="1" x="572"/>
        <item m="1" x="314"/>
        <item m="1" x="191"/>
        <item m="1" x="486"/>
        <item m="1" x="223"/>
        <item m="1" x="497"/>
        <item m="1" x="281"/>
        <item m="1" x="541"/>
        <item m="1" x="269"/>
        <item m="1" x="529"/>
        <item m="1" x="256"/>
        <item m="1" x="234"/>
        <item m="1" x="301"/>
        <item m="1" x="558"/>
        <item m="1" x="337"/>
        <item m="1" x="584"/>
        <item m="1" x="236"/>
        <item m="1" x="215"/>
        <item m="1" x="207"/>
        <item m="1" x="480"/>
        <item m="1" x="517"/>
        <item m="1" x="245"/>
        <item m="1" x="505"/>
        <item m="1" x="282"/>
        <item m="1" x="542"/>
        <item m="1" x="271"/>
        <item m="1" x="574"/>
        <item m="1" x="549"/>
        <item m="1" x="316"/>
        <item m="1" x="237"/>
        <item m="1" x="490"/>
        <item m="1" x="625"/>
        <item m="1" x="361"/>
        <item m="1" x="610"/>
        <item m="1" x="350"/>
        <item m="1" x="325"/>
        <item m="1" x="585"/>
        <item m="1" x="506"/>
        <item m="1" x="340"/>
        <item m="1" x="596"/>
        <item m="1" x="327"/>
        <item m="1" x="587"/>
        <item m="1" x="317"/>
        <item m="1" x="562"/>
        <item m="1" x="292"/>
        <item m="1" x="544"/>
        <item m="1" x="552"/>
        <item m="1" x="283"/>
        <item m="1" x="518"/>
        <item m="1" x="258"/>
        <item m="1" x="374"/>
        <item m="1" x="627"/>
        <item m="1" x="612"/>
        <item m="1" x="363"/>
        <item m="1" x="260"/>
        <item m="1" x="554"/>
        <item m="1" x="275"/>
        <item m="1" x="533"/>
        <item m="1" x="294"/>
        <item m="1" x="564"/>
        <item m="1" x="307"/>
        <item m="1" x="605"/>
        <item m="1" x="353"/>
        <item m="1" x="341"/>
        <item m="1" x="328"/>
        <item m="1" x="385"/>
        <item m="1" x="375"/>
        <item m="1" x="666"/>
        <item m="1" x="402"/>
        <item m="1" x="535"/>
        <item m="1" x="296"/>
        <item m="1" x="546"/>
        <item m="1" x="277"/>
        <item m="1" x="566"/>
        <item m="1" x="309"/>
        <item m="1" x="369"/>
        <item m="1" x="618"/>
        <item m="1" x="356"/>
        <item m="1" x="345"/>
        <item m="1" x="591"/>
        <item m="1" x="321"/>
        <item m="1" x="580"/>
        <item m="1" x="311"/>
        <item m="1" x="569"/>
        <item m="1" x="682"/>
        <item m="1" x="416"/>
        <item m="1" x="674"/>
        <item m="1" x="408"/>
        <item m="1" x="667"/>
        <item m="1" x="394"/>
        <item m="1" x="649"/>
        <item m="1" x="388"/>
        <item m="1" x="641"/>
        <item m="1" x="376"/>
        <item m="1" x="616"/>
        <item m="1" x="606"/>
        <item m="1" x="343"/>
        <item m="1" x="598"/>
        <item m="1" x="642"/>
        <item m="1" x="592"/>
        <item m="1" x="581"/>
        <item m="1" x="683"/>
        <item m="1" x="675"/>
        <item m="1" x="418"/>
        <item m="1" x="410"/>
        <item m="1" x="659"/>
        <item m="1" x="396"/>
        <item m="1" x="651"/>
        <item m="1" x="390"/>
        <item m="1" x="685"/>
        <item m="1" x="420"/>
        <item m="1" x="670"/>
        <item m="1" x="398"/>
        <item m="1" x="404"/>
        <item m="1" x="661"/>
        <item m="1" x="653"/>
        <item m="1" x="379"/>
        <item m="1" x="633"/>
        <item m="1" x="620"/>
        <item m="1" x="357"/>
        <item m="1" x="334"/>
        <item m="1" x="347"/>
        <item m="1" x="371"/>
        <item m="1" x="622"/>
        <item m="1" x="348"/>
        <item m="1" x="438"/>
        <item m="1" x="429"/>
        <item m="1" x="154"/>
        <item m="1" x="636"/>
        <item m="1" x="174"/>
        <item m="1" x="443"/>
        <item m="1" x="160"/>
        <item m="1" x="431"/>
        <item m="1" x="156"/>
        <item m="1" x="413"/>
        <item m="1" x="671"/>
        <item m="1" x="663"/>
        <item m="1" x="400"/>
        <item m="1" x="645"/>
        <item m="1" x="380"/>
        <item m="1" x="634"/>
        <item m="1" x="165"/>
        <item m="1" x="436"/>
        <item m="1" x="423"/>
        <item m="1" x="162"/>
        <item m="1" x="433"/>
        <item m="1" x="157"/>
        <item m="1" x="414"/>
        <item m="1" x="656"/>
        <item m="1" x="646"/>
        <item m="1" x="382"/>
        <item m="1" x="503"/>
        <item m="1" x="232"/>
        <item m="1" x="493"/>
        <item m="1" x="219"/>
        <item m="1" x="477"/>
        <item m="1" x="204"/>
        <item m="1" x="473"/>
        <item m="1" x="467"/>
        <item m="1" x="185"/>
        <item m="1" x="457"/>
        <item m="1" x="452"/>
        <item m="1" x="264"/>
        <item m="1" x="523"/>
        <item m="1" x="252"/>
        <item m="1" x="501"/>
        <item m="1" x="217"/>
        <item m="1" x="202"/>
        <item m="1" x="471"/>
        <item m="1" x="195"/>
        <item m="1" x="465"/>
        <item m="1" x="187"/>
        <item m="1" x="455"/>
        <item m="1" x="181"/>
        <item m="1" x="450"/>
        <item m="1" x="177"/>
        <item m="1" x="167"/>
        <item m="1" x="442"/>
        <item m="1" x="290"/>
        <item m="1" x="270"/>
        <item m="1" x="257"/>
        <item m="1" x="516"/>
        <item m="1" x="235"/>
        <item m="1" x="225"/>
        <item m="1" x="488"/>
        <item m="1" x="199"/>
        <item m="1" x="192"/>
        <item m="1" x="463"/>
        <item m="1" x="548"/>
        <item m="1" x="268"/>
        <item m="1" x="528"/>
        <item m="1" x="255"/>
        <item m="1" x="514"/>
        <item m="1" x="222"/>
        <item m="1" x="496"/>
        <item m="1" x="485"/>
        <item m="1" x="478"/>
        <item m="1" x="198"/>
        <item m="1" x="469"/>
        <item m="1" x="190"/>
        <item m="1" x="461"/>
        <item m="1" x="186"/>
        <item m="1" x="279"/>
        <item m="1" x="539"/>
        <item m="1" x="266"/>
        <item m="1" x="525"/>
        <item m="1" x="243"/>
        <item m="1" x="330"/>
        <item m="1" x="589"/>
        <item m="1" x="565"/>
        <item m="1" x="295"/>
        <item m="1" x="556"/>
        <item m="1" x="286"/>
        <item m="1" x="534"/>
        <item m="1" x="261"/>
        <item m="1" x="521"/>
        <item m="1" x="250"/>
        <item m="1" x="510"/>
        <item m="1" x="628"/>
        <item m="1" x="365"/>
        <item m="1" x="614"/>
        <item m="1" x="352"/>
        <item m="1" x="597"/>
        <item m="1" x="588"/>
        <item m="1" x="319"/>
        <item m="1" x="577"/>
        <item m="1" x="293"/>
        <item m="1" x="553"/>
        <item m="1" x="285"/>
        <item m="1" x="274"/>
        <item m="1" x="519"/>
        <item m="1" x="248"/>
        <item m="1" x="508"/>
        <item m="1" x="239"/>
        <item m="1" x="500"/>
        <item m="1" x="626"/>
        <item m="1" x="611"/>
        <item m="1" x="362"/>
        <item m="1" x="351"/>
        <item m="1" x="603"/>
        <item m="1" x="326"/>
        <item m="1" x="586"/>
        <item m="1" x="575"/>
        <item m="1" x="305"/>
        <item m="1" x="551"/>
        <item m="1" x="543"/>
        <item m="1" x="272"/>
        <item m="1" x="531"/>
        <item m="1" x="247"/>
        <item m="1" x="227"/>
        <item m="1" x="208"/>
        <item m="1" x="338"/>
        <item m="1" x="594"/>
        <item m="1" x="315"/>
        <item m="1" x="573"/>
        <item m="1" x="303"/>
        <item m="1" x="560"/>
        <item m="1" x="370"/>
        <item m="1" x="621"/>
        <item m="1" x="358"/>
        <item m="1" x="608"/>
        <item m="1" x="336"/>
        <item m="1" x="593"/>
        <item m="1" x="323"/>
        <item m="1" x="582"/>
        <item m="1" x="684"/>
        <item m="1" x="419"/>
        <item m="1" x="677"/>
        <item m="1" x="397"/>
        <item m="1" x="652"/>
        <item m="1" x="391"/>
        <item m="1" x="643"/>
        <item m="1" x="619"/>
        <item m="1" x="346"/>
        <item m="1" x="322"/>
        <item m="1" x="312"/>
        <item m="1" x="570"/>
        <item m="1" x="298"/>
        <item m="1" x="417"/>
        <item m="1" x="409"/>
        <item m="1" x="650"/>
        <item m="1" x="389"/>
        <item m="1" x="377"/>
        <item m="1" x="631"/>
        <item m="1" x="355"/>
        <item m="1" x="344"/>
        <item m="1" x="600"/>
        <item m="1" x="310"/>
        <item m="1" x="332"/>
        <item m="1" x="579"/>
        <item m="1" x="568"/>
        <item m="1" x="278"/>
        <item m="1" x="536"/>
        <item m="1" x="658"/>
        <item m="1" x="387"/>
        <item m="1" x="640"/>
        <item m="1" x="630"/>
        <item m="1" x="367"/>
        <item m="1" x="342"/>
        <item m="1" x="432"/>
        <item m="1" x="426"/>
        <item m="1" x="672"/>
        <item m="1" x="175"/>
        <item m="1" x="655"/>
        <item m="1" x="381"/>
        <item m="1" x="635"/>
        <item m="1" x="359"/>
        <item m="1" x="602"/>
        <item m="1" x="169"/>
        <item m="1" x="439"/>
        <item m="1" x="435"/>
        <item m="1" x="686"/>
        <item m="1" x="679"/>
        <item m="1" x="662"/>
        <item m="1" x="399"/>
        <item m="1" x="654"/>
        <item m="1" x="392"/>
        <item m="1" x="373"/>
        <item m="1" x="444"/>
        <item m="1" x="171"/>
        <item m="1" x="164"/>
        <item m="1" x="440"/>
        <item m="1" x="681"/>
        <item m="1" x="159"/>
        <item m="1" x="427"/>
        <item m="1" x="406"/>
        <item m="1" x="665"/>
        <item m="1" x="393"/>
        <item m="1" x="647"/>
        <item m="1" x="383"/>
        <item m="1" x="638"/>
        <item m="1" x="673"/>
        <item m="1" x="458"/>
        <item m="1" x="168"/>
        <item m="1" x="451"/>
        <item m="1" x="178"/>
        <item m="1" x="182"/>
        <item m="1" x="466"/>
        <item m="1" x="188"/>
        <item m="1" x="460"/>
        <item m="1" x="212"/>
        <item m="1" x="196"/>
        <item m="1" x="218"/>
        <item m="1" x="482"/>
        <item m="1" x="453"/>
        <item m="1" x="179"/>
        <item m="1" x="265"/>
        <item m="1" x="524"/>
        <item m="1" x="254"/>
        <item m="1" x="513"/>
        <item m="1" x="492"/>
        <item m="1" x="197"/>
        <item m="1" x="468"/>
        <item m="1" x="189"/>
        <item m="1" x="205"/>
        <item m="1" x="474"/>
        <item m="1" x="617"/>
        <item m="1" x="599"/>
        <item m="1" x="331"/>
        <item m="1" x="567"/>
        <item m="1" x="287"/>
        <item m="1" x="547"/>
        <item m="1" x="262"/>
        <item m="1" x="522"/>
        <item m="1" x="251"/>
        <item m="1" x="386"/>
        <item m="1" x="629"/>
        <item m="1" x="366"/>
        <item m="1" x="615"/>
        <item m="1" x="354"/>
        <item m="1" x="590"/>
        <item m="1" x="329"/>
        <item m="1" x="320"/>
        <item m="1" x="578"/>
        <item m="1" x="308"/>
        <item m="1" x="555"/>
        <item m="1" x="545"/>
        <item m="1" x="276"/>
        <item m="1" x="520"/>
        <item m="1" x="249"/>
        <item m="1" x="509"/>
        <item m="1" x="240"/>
        <item m="1" x="229"/>
        <item m="1" x="364"/>
        <item m="1" x="613"/>
        <item m="1" x="604"/>
        <item m="1" x="318"/>
        <item m="1" x="576"/>
        <item m="1" x="306"/>
        <item m="1" x="563"/>
        <item m="1" x="284"/>
        <item m="1" x="273"/>
        <item m="1" x="532"/>
        <item m="1" x="259"/>
        <item m="1" x="507"/>
        <item m="1" x="238"/>
        <item m="1" x="499"/>
        <item m="1" x="228"/>
        <item m="1" x="209"/>
        <item m="1" x="339"/>
        <item m="1" x="595"/>
        <item m="1" x="304"/>
        <item m="1" x="561"/>
        <item m="1" x="291"/>
        <item m="1" x="246"/>
        <item m="1" x="226"/>
        <item m="1" x="498"/>
        <item m="1" x="489"/>
        <item m="1" x="216"/>
        <item m="1" x="481"/>
        <item m="1" x="200"/>
        <item m="1" x="193"/>
        <item m="1" x="464"/>
        <item m="1" x="559"/>
        <item m="1" x="302"/>
        <item m="1" x="530"/>
        <item m="1" x="515"/>
        <item m="1" x="244"/>
        <item m="1" x="224"/>
        <item m="1" x="487"/>
        <item m="1" x="214"/>
        <item m="1" x="479"/>
        <item m="1" x="206"/>
        <item m="1" x="470"/>
        <item m="1" x="462"/>
        <item m="1" x="459"/>
        <item m="1" x="280"/>
        <item m="1" x="540"/>
        <item m="1" x="527"/>
        <item m="1" x="504"/>
        <item m="1" x="495"/>
        <item m="1" x="221"/>
        <item m="1" x="484"/>
        <item m="1" x="550"/>
        <item m="1" x="624"/>
        <item m="1" x="445"/>
        <item m="1" x="172"/>
        <item m="1" x="166"/>
        <item m="1" x="158"/>
        <item m="1" x="424"/>
        <item m="1" x="401"/>
        <item m="1" x="657"/>
        <item m="1" x="637"/>
        <item m="1" x="623"/>
        <item m="1" x="360"/>
        <item m="1" x="170"/>
        <item m="1" x="161"/>
        <item m="1" x="425"/>
        <item m="1" x="422"/>
        <item m="1" x="680"/>
        <item m="1" x="664"/>
        <item m="1" x="372"/>
        <item m="1" x="609"/>
        <item m="1" x="349"/>
        <item m="1" x="324"/>
        <item m="1" x="583"/>
        <item m="1" x="430"/>
        <item m="1" x="155"/>
        <item m="1" x="421"/>
        <item m="1" x="678"/>
        <item m="1" x="412"/>
        <item m="1" x="405"/>
        <item m="1" x="644"/>
        <item m="1" x="601"/>
        <item m="1" x="335"/>
        <item m="1" x="313"/>
        <item m="1" x="571"/>
        <item m="1" x="299"/>
        <item m="1" x="557"/>
        <item m="1" x="676"/>
        <item m="1" x="411"/>
        <item m="1" x="669"/>
        <item m="1" x="660"/>
        <item m="1" x="378"/>
        <item m="1" x="632"/>
        <item m="1" x="607"/>
        <item m="1" x="333"/>
        <item m="1" x="297"/>
        <item m="1" x="288"/>
        <item m="1" x="668"/>
        <item m="1" x="403"/>
        <item m="1" x="395"/>
        <item m="1" x="368"/>
        <item m="1" x="163"/>
        <item m="1" x="434"/>
        <item m="1" x="428"/>
        <item m="1" x="415"/>
        <item m="1" x="407"/>
        <item m="1" x="648"/>
        <item m="1" x="384"/>
        <item m="1" x="639"/>
        <item m="1" x="437"/>
        <item x="150"/>
        <item x="151"/>
        <item x="152"/>
        <item x="15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29"/>
        <item x="130"/>
        <item x="131"/>
        <item x="132"/>
        <item x="133"/>
        <item x="13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axis="axisRow" showAll="0" sortType="ascending">
      <items count="49">
        <item x="15"/>
        <item x="8"/>
        <item m="1" x="45"/>
        <item x="16"/>
        <item x="1"/>
        <item m="1" x="31"/>
        <item m="1" x="42"/>
        <item x="12"/>
        <item m="1" x="37"/>
        <item x="14"/>
        <item m="1" x="38"/>
        <item x="9"/>
        <item m="1" x="46"/>
        <item m="1" x="35"/>
        <item m="1" x="34"/>
        <item m="1" x="28"/>
        <item x="13"/>
        <item m="1" x="29"/>
        <item x="6"/>
        <item m="1" x="44"/>
        <item x="11"/>
        <item m="1" x="33"/>
        <item m="1" x="36"/>
        <item x="10"/>
        <item x="4"/>
        <item x="5"/>
        <item m="1" x="47"/>
        <item m="1" x="39"/>
        <item m="1" x="43"/>
        <item x="2"/>
        <item x="3"/>
        <item m="1" x="41"/>
        <item x="0"/>
        <item m="1" x="32"/>
        <item m="1" x="27"/>
        <item x="7"/>
        <item m="1" x="40"/>
        <item m="1" x="26"/>
        <item m="1" x="30"/>
        <item x="25"/>
        <item x="23"/>
        <item x="24"/>
        <item x="22"/>
        <item x="17"/>
        <item x="18"/>
        <item x="19"/>
        <item x="20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numFmtId="1" showAll="0"/>
    <pivotField dataField="1" numFmtId="1" showAll="0"/>
  </pivotFields>
  <rowFields count="1">
    <field x="6"/>
  </rowFields>
  <rowItems count="27">
    <i>
      <x v="40"/>
    </i>
    <i>
      <x v="47"/>
    </i>
    <i>
      <x v="41"/>
    </i>
    <i>
      <x v="42"/>
    </i>
    <i>
      <x v="39"/>
    </i>
    <i>
      <x v="45"/>
    </i>
    <i>
      <x v="44"/>
    </i>
    <i>
      <x v="46"/>
    </i>
    <i>
      <x v="16"/>
    </i>
    <i>
      <x v="43"/>
    </i>
    <i>
      <x v="9"/>
    </i>
    <i>
      <x v="29"/>
    </i>
    <i>
      <x v="7"/>
    </i>
    <i>
      <x v="25"/>
    </i>
    <i>
      <x v="4"/>
    </i>
    <i>
      <x v="23"/>
    </i>
    <i>
      <x v="30"/>
    </i>
    <i>
      <x v="18"/>
    </i>
    <i>
      <x v="35"/>
    </i>
    <i>
      <x v="3"/>
    </i>
    <i>
      <x v="20"/>
    </i>
    <i>
      <x v="1"/>
    </i>
    <i>
      <x v="24"/>
    </i>
    <i>
      <x/>
    </i>
    <i>
      <x v="11"/>
    </i>
    <i>
      <x v="32"/>
    </i>
    <i t="grand">
      <x/>
    </i>
  </rowItems>
  <colItems count="1">
    <i/>
  </colItems>
  <pageFields count="1">
    <pageField fld="1" hier="-1"/>
  </pageFields>
  <dataFields count="1">
    <dataField name="Suma de TOTAL DE SAO'S" fld="16" baseField="0" baseItem="0"/>
  </dataFields>
  <formats count="1">
    <format dxfId="15">
      <pivotArea dataOnly="0" labelOnly="1" outline="0" axis="axisValues" fieldPosition="0"/>
    </format>
  </formats>
  <chartFormats count="1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E-mail.conhesa@prodigynet.mx" TargetMode="External"/><Relationship Id="rId18" Type="http://schemas.openxmlformats.org/officeDocument/2006/relationships/hyperlink" Target="mailto:mtorres@electriccapital.com.mx" TargetMode="External"/><Relationship Id="rId26" Type="http://schemas.openxmlformats.org/officeDocument/2006/relationships/hyperlink" Target="mailto:paulocesartorresperez@outlook.com" TargetMode="External"/><Relationship Id="rId39" Type="http://schemas.openxmlformats.org/officeDocument/2006/relationships/hyperlink" Target="mailto:avenegas@arteche.com.mx" TargetMode="External"/><Relationship Id="rId21" Type="http://schemas.openxmlformats.org/officeDocument/2006/relationships/hyperlink" Target="mailto:abermejo@electriccapital.com.mx" TargetMode="External"/><Relationship Id="rId34" Type="http://schemas.openxmlformats.org/officeDocument/2006/relationships/hyperlink" Target="mailto:abermejo@electriccapital.com.mx" TargetMode="External"/><Relationship Id="rId42" Type="http://schemas.openxmlformats.org/officeDocument/2006/relationships/hyperlink" Target="mailto:jaime.veverino@siemens.com" TargetMode="External"/><Relationship Id="rId47" Type="http://schemas.openxmlformats.org/officeDocument/2006/relationships/hyperlink" Target="mailto:adriana.castillo@cargotecnia.com" TargetMode="External"/><Relationship Id="rId50" Type="http://schemas.openxmlformats.org/officeDocument/2006/relationships/hyperlink" Target="mailto:ventascelaya@quantumelectric.com.mx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mailto:E-MAIL.zapopan@cenmex.com" TargetMode="External"/><Relationship Id="rId12" Type="http://schemas.openxmlformats.org/officeDocument/2006/relationships/hyperlink" Target="mailto:crimsa3@hotmail.com" TargetMode="External"/><Relationship Id="rId17" Type="http://schemas.openxmlformats.org/officeDocument/2006/relationships/hyperlink" Target="mailto:magarcia@diram.com" TargetMode="External"/><Relationship Id="rId25" Type="http://schemas.openxmlformats.org/officeDocument/2006/relationships/hyperlink" Target="mailto:jestrada@arteche.com.mx" TargetMode="External"/><Relationship Id="rId33" Type="http://schemas.openxmlformats.org/officeDocument/2006/relationships/hyperlink" Target="mailto:amontes@electriccapital.com.mx" TargetMode="External"/><Relationship Id="rId38" Type="http://schemas.openxmlformats.org/officeDocument/2006/relationships/hyperlink" Target="mailto:mappec@mappec.com" TargetMode="External"/><Relationship Id="rId46" Type="http://schemas.openxmlformats.org/officeDocument/2006/relationships/hyperlink" Target="mailto:contacto@multico.com.mx" TargetMode="External"/><Relationship Id="rId2" Type="http://schemas.openxmlformats.org/officeDocument/2006/relationships/hyperlink" Target="mailto:humbeto.gonzalez@mx.abb.com" TargetMode="External"/><Relationship Id="rId16" Type="http://schemas.openxmlformats.org/officeDocument/2006/relationships/hyperlink" Target="mailto:gcarlos@deltaelectric.com.mx" TargetMode="External"/><Relationship Id="rId20" Type="http://schemas.openxmlformats.org/officeDocument/2006/relationships/hyperlink" Target="mailto:mtorres@electriccapital.com.mx" TargetMode="External"/><Relationship Id="rId29" Type="http://schemas.openxmlformats.org/officeDocument/2006/relationships/hyperlink" Target="mailto:gabrielcueva@harz.com.mx" TargetMode="External"/><Relationship Id="rId41" Type="http://schemas.openxmlformats.org/officeDocument/2006/relationships/hyperlink" Target="mailto:umendoza@iusa.com.mx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mailto:daniel.perez@mx.abb.com" TargetMode="External"/><Relationship Id="rId6" Type="http://schemas.openxmlformats.org/officeDocument/2006/relationships/hyperlink" Target="mailto:atrujillo@arteche.com.mx" TargetMode="External"/><Relationship Id="rId11" Type="http://schemas.openxmlformats.org/officeDocument/2006/relationships/hyperlink" Target="mailto:saulocamarillo@eaton.com" TargetMode="External"/><Relationship Id="rId24" Type="http://schemas.openxmlformats.org/officeDocument/2006/relationships/hyperlink" Target="mailto:gabriela.gardea@quasarcontrols.com" TargetMode="External"/><Relationship Id="rId32" Type="http://schemas.openxmlformats.org/officeDocument/2006/relationships/hyperlink" Target="mailto:bvazquez@gwelec.com.mx" TargetMode="External"/><Relationship Id="rId37" Type="http://schemas.openxmlformats.org/officeDocument/2006/relationships/hyperlink" Target="mailto:m.sandoval@eprecsa.mx" TargetMode="External"/><Relationship Id="rId40" Type="http://schemas.openxmlformats.org/officeDocument/2006/relationships/hyperlink" Target="mailto:daniel.vargas@shneider-electric.com" TargetMode="External"/><Relationship Id="rId45" Type="http://schemas.openxmlformats.org/officeDocument/2006/relationships/hyperlink" Target="mailto:contacto@equiposmc.com" TargetMode="External"/><Relationship Id="rId53" Type="http://schemas.openxmlformats.org/officeDocument/2006/relationships/hyperlink" Target="mailto:jjchavez@gmail.com" TargetMode="External"/><Relationship Id="rId5" Type="http://schemas.openxmlformats.org/officeDocument/2006/relationships/hyperlink" Target="mailto:rene.mendoza@mx.abb.com" TargetMode="External"/><Relationship Id="rId15" Type="http://schemas.openxmlformats.org/officeDocument/2006/relationships/hyperlink" Target="mailto:viviana.27@outlook.com.ar" TargetMode="External"/><Relationship Id="rId23" Type="http://schemas.openxmlformats.org/officeDocument/2006/relationships/hyperlink" Target="mailto:danielpintodavalos@eaton.com" TargetMode="External"/><Relationship Id="rId28" Type="http://schemas.openxmlformats.org/officeDocument/2006/relationships/hyperlink" Target="mailto:aayala@harz.com.mx" TargetMode="External"/><Relationship Id="rId36" Type="http://schemas.openxmlformats.org/officeDocument/2006/relationships/hyperlink" Target="mailto:oscar@deltargp.com.mx" TargetMode="External"/><Relationship Id="rId49" Type="http://schemas.openxmlformats.org/officeDocument/2006/relationships/hyperlink" Target="mailto:Gerardo.GonzalezBalderas@sandc.com" TargetMode="External"/><Relationship Id="rId10" Type="http://schemas.openxmlformats.org/officeDocument/2006/relationships/hyperlink" Target="mailto:danielpintodavalos@eaton.com" TargetMode="External"/><Relationship Id="rId19" Type="http://schemas.openxmlformats.org/officeDocument/2006/relationships/hyperlink" Target="mailto:abermejo@electriccapital.com.mx" TargetMode="External"/><Relationship Id="rId31" Type="http://schemas.openxmlformats.org/officeDocument/2006/relationships/hyperlink" Target="mailto:dflores@gwelec.com" TargetMode="External"/><Relationship Id="rId44" Type="http://schemas.openxmlformats.org/officeDocument/2006/relationships/hyperlink" Target="mailto:canotrani@ufara.com.mx" TargetMode="External"/><Relationship Id="rId52" Type="http://schemas.openxmlformats.org/officeDocument/2006/relationships/hyperlink" Target="mailto:comercial@transformadorestj.com.mx" TargetMode="External"/><Relationship Id="rId4" Type="http://schemas.openxmlformats.org/officeDocument/2006/relationships/hyperlink" Target="mailto:vladimir.araiza@mx.abb.com" TargetMode="External"/><Relationship Id="rId9" Type="http://schemas.openxmlformats.org/officeDocument/2006/relationships/hyperlink" Target="mailto:saulocamarillo@eaton.com" TargetMode="External"/><Relationship Id="rId14" Type="http://schemas.openxmlformats.org/officeDocument/2006/relationships/hyperlink" Target="mailto:gangel@deltaelectric.com.mx" TargetMode="External"/><Relationship Id="rId22" Type="http://schemas.openxmlformats.org/officeDocument/2006/relationships/hyperlink" Target="mailto:hcsuarezsolis@mmm.com" TargetMode="External"/><Relationship Id="rId27" Type="http://schemas.openxmlformats.org/officeDocument/2006/relationships/hyperlink" Target="mailto:ventas@transformadoresiec.com" TargetMode="External"/><Relationship Id="rId30" Type="http://schemas.openxmlformats.org/officeDocument/2006/relationships/hyperlink" Target="mailto:ivan.velazquez_vargas@siemens.com" TargetMode="External"/><Relationship Id="rId35" Type="http://schemas.openxmlformats.org/officeDocument/2006/relationships/hyperlink" Target="mailto:trabsa@prodigy.net.mx" TargetMode="External"/><Relationship Id="rId43" Type="http://schemas.openxmlformats.org/officeDocument/2006/relationships/hyperlink" Target="mailto:enrique@tormex.com" TargetMode="External"/><Relationship Id="rId48" Type="http://schemas.openxmlformats.org/officeDocument/2006/relationships/hyperlink" Target="mailto:jose.castro@equiposmc.com" TargetMode="External"/><Relationship Id="rId8" Type="http://schemas.openxmlformats.org/officeDocument/2006/relationships/hyperlink" Target="mailto:danielpintodavalos@eaton.com" TargetMode="External"/><Relationship Id="rId51" Type="http://schemas.openxmlformats.org/officeDocument/2006/relationships/hyperlink" Target="mailto:tjchavez3101@gmail.com" TargetMode="External"/><Relationship Id="rId3" Type="http://schemas.openxmlformats.org/officeDocument/2006/relationships/hyperlink" Target="mailto:luis.garcia@mx.abb.com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61.pdf" TargetMode="External"/><Relationship Id="rId299" Type="http://schemas.openxmlformats.org/officeDocument/2006/relationships/hyperlink" Target="958.pdf" TargetMode="External"/><Relationship Id="rId303" Type="http://schemas.openxmlformats.org/officeDocument/2006/relationships/hyperlink" Target="971.pdf" TargetMode="External"/><Relationship Id="rId21" Type="http://schemas.openxmlformats.org/officeDocument/2006/relationships/hyperlink" Target="81.pdf" TargetMode="External"/><Relationship Id="rId42" Type="http://schemas.openxmlformats.org/officeDocument/2006/relationships/hyperlink" Target="118.pdf" TargetMode="External"/><Relationship Id="rId63" Type="http://schemas.openxmlformats.org/officeDocument/2006/relationships/hyperlink" Target="173.pdf" TargetMode="External"/><Relationship Id="rId84" Type="http://schemas.openxmlformats.org/officeDocument/2006/relationships/hyperlink" Target="222.pdf" TargetMode="External"/><Relationship Id="rId138" Type="http://schemas.openxmlformats.org/officeDocument/2006/relationships/hyperlink" Target="624.pdf" TargetMode="External"/><Relationship Id="rId159" Type="http://schemas.openxmlformats.org/officeDocument/2006/relationships/hyperlink" Target="BAJA-DN-0149-2015.pdf" TargetMode="External"/><Relationship Id="rId324" Type="http://schemas.openxmlformats.org/officeDocument/2006/relationships/hyperlink" Target="1026.pdf" TargetMode="External"/><Relationship Id="rId170" Type="http://schemas.openxmlformats.org/officeDocument/2006/relationships/hyperlink" Target="701.pdf" TargetMode="External"/><Relationship Id="rId191" Type="http://schemas.openxmlformats.org/officeDocument/2006/relationships/hyperlink" Target="BAJA%20DN%200098%202015.pdf" TargetMode="External"/><Relationship Id="rId205" Type="http://schemas.openxmlformats.org/officeDocument/2006/relationships/hyperlink" Target="763.pdf" TargetMode="External"/><Relationship Id="rId226" Type="http://schemas.openxmlformats.org/officeDocument/2006/relationships/hyperlink" Target="816.pdf" TargetMode="External"/><Relationship Id="rId247" Type="http://schemas.openxmlformats.org/officeDocument/2006/relationships/hyperlink" Target="878.pdf" TargetMode="External"/><Relationship Id="rId107" Type="http://schemas.openxmlformats.org/officeDocument/2006/relationships/hyperlink" Target="537-A.pdf" TargetMode="External"/><Relationship Id="rId268" Type="http://schemas.openxmlformats.org/officeDocument/2006/relationships/hyperlink" Target="906.pdf" TargetMode="External"/><Relationship Id="rId289" Type="http://schemas.openxmlformats.org/officeDocument/2006/relationships/hyperlink" Target="956.pdf" TargetMode="External"/><Relationship Id="rId11" Type="http://schemas.openxmlformats.org/officeDocument/2006/relationships/hyperlink" Target="55.pdf" TargetMode="External"/><Relationship Id="rId32" Type="http://schemas.openxmlformats.org/officeDocument/2006/relationships/hyperlink" Target="Baja%20DN-0026.pdf" TargetMode="External"/><Relationship Id="rId53" Type="http://schemas.openxmlformats.org/officeDocument/2006/relationships/hyperlink" Target="136.pdf" TargetMode="External"/><Relationship Id="rId74" Type="http://schemas.openxmlformats.org/officeDocument/2006/relationships/hyperlink" Target="DN-069-070-BAJA%202015.pdf" TargetMode="External"/><Relationship Id="rId128" Type="http://schemas.openxmlformats.org/officeDocument/2006/relationships/hyperlink" Target="603.pdf" TargetMode="External"/><Relationship Id="rId149" Type="http://schemas.openxmlformats.org/officeDocument/2006/relationships/hyperlink" Target="660.pdf" TargetMode="External"/><Relationship Id="rId314" Type="http://schemas.openxmlformats.org/officeDocument/2006/relationships/hyperlink" Target="984.pdf" TargetMode="External"/><Relationship Id="rId335" Type="http://schemas.openxmlformats.org/officeDocument/2006/relationships/hyperlink" Target="1033.pdf" TargetMode="External"/><Relationship Id="rId5" Type="http://schemas.openxmlformats.org/officeDocument/2006/relationships/hyperlink" Target="35.pdf" TargetMode="External"/><Relationship Id="rId95" Type="http://schemas.openxmlformats.org/officeDocument/2006/relationships/hyperlink" Target="539.pdf" TargetMode="External"/><Relationship Id="rId160" Type="http://schemas.openxmlformats.org/officeDocument/2006/relationships/hyperlink" Target="BAJA%20DN%200162%202015.pdf" TargetMode="External"/><Relationship Id="rId181" Type="http://schemas.openxmlformats.org/officeDocument/2006/relationships/hyperlink" Target="734.pdf" TargetMode="External"/><Relationship Id="rId216" Type="http://schemas.openxmlformats.org/officeDocument/2006/relationships/hyperlink" Target="797.pdf" TargetMode="External"/><Relationship Id="rId237" Type="http://schemas.openxmlformats.org/officeDocument/2006/relationships/hyperlink" Target="BAJA-DN-0256%2005-10-2015.pdf" TargetMode="External"/><Relationship Id="rId258" Type="http://schemas.openxmlformats.org/officeDocument/2006/relationships/hyperlink" Target="900.pdf" TargetMode="External"/><Relationship Id="rId279" Type="http://schemas.openxmlformats.org/officeDocument/2006/relationships/hyperlink" Target="934.pdf" TargetMode="External"/><Relationship Id="rId22" Type="http://schemas.openxmlformats.org/officeDocument/2006/relationships/hyperlink" Target="83.pdf" TargetMode="External"/><Relationship Id="rId43" Type="http://schemas.openxmlformats.org/officeDocument/2006/relationships/hyperlink" Target="119.pdf" TargetMode="External"/><Relationship Id="rId64" Type="http://schemas.openxmlformats.org/officeDocument/2006/relationships/hyperlink" Target="173.pdf" TargetMode="External"/><Relationship Id="rId118" Type="http://schemas.openxmlformats.org/officeDocument/2006/relationships/hyperlink" Target="557.pdf" TargetMode="External"/><Relationship Id="rId139" Type="http://schemas.openxmlformats.org/officeDocument/2006/relationships/hyperlink" Target="Baja-DN-0138-2015.pdf" TargetMode="External"/><Relationship Id="rId290" Type="http://schemas.openxmlformats.org/officeDocument/2006/relationships/hyperlink" Target="956.pdf" TargetMode="External"/><Relationship Id="rId304" Type="http://schemas.openxmlformats.org/officeDocument/2006/relationships/hyperlink" Target="972.pdf" TargetMode="External"/><Relationship Id="rId325" Type="http://schemas.openxmlformats.org/officeDocument/2006/relationships/hyperlink" Target="1027.pdf" TargetMode="External"/><Relationship Id="rId85" Type="http://schemas.openxmlformats.org/officeDocument/2006/relationships/hyperlink" Target="223.pdf" TargetMode="External"/><Relationship Id="rId150" Type="http://schemas.openxmlformats.org/officeDocument/2006/relationships/hyperlink" Target="663.pdf" TargetMode="External"/><Relationship Id="rId171" Type="http://schemas.openxmlformats.org/officeDocument/2006/relationships/hyperlink" Target="714.pdf" TargetMode="External"/><Relationship Id="rId192" Type="http://schemas.openxmlformats.org/officeDocument/2006/relationships/hyperlink" Target="Baja%20DN%20144.pdf" TargetMode="External"/><Relationship Id="rId206" Type="http://schemas.openxmlformats.org/officeDocument/2006/relationships/hyperlink" Target="766.pdf" TargetMode="External"/><Relationship Id="rId227" Type="http://schemas.openxmlformats.org/officeDocument/2006/relationships/hyperlink" Target="828.pdf" TargetMode="External"/><Relationship Id="rId248" Type="http://schemas.openxmlformats.org/officeDocument/2006/relationships/hyperlink" Target="879.pdf" TargetMode="External"/><Relationship Id="rId269" Type="http://schemas.openxmlformats.org/officeDocument/2006/relationships/hyperlink" Target="906.pdf" TargetMode="External"/><Relationship Id="rId12" Type="http://schemas.openxmlformats.org/officeDocument/2006/relationships/hyperlink" Target="58.pdf" TargetMode="External"/><Relationship Id="rId33" Type="http://schemas.openxmlformats.org/officeDocument/2006/relationships/hyperlink" Target="112.pdf" TargetMode="External"/><Relationship Id="rId108" Type="http://schemas.openxmlformats.org/officeDocument/2006/relationships/hyperlink" Target="558.pdf" TargetMode="External"/><Relationship Id="rId129" Type="http://schemas.openxmlformats.org/officeDocument/2006/relationships/hyperlink" Target="605.pdf" TargetMode="External"/><Relationship Id="rId280" Type="http://schemas.openxmlformats.org/officeDocument/2006/relationships/hyperlink" Target="937.pdf" TargetMode="External"/><Relationship Id="rId315" Type="http://schemas.openxmlformats.org/officeDocument/2006/relationships/hyperlink" Target="BAJA-DN-314-2015.pdf" TargetMode="External"/><Relationship Id="rId336" Type="http://schemas.openxmlformats.org/officeDocument/2006/relationships/hyperlink" Target="1033.pdf" TargetMode="External"/><Relationship Id="rId54" Type="http://schemas.openxmlformats.org/officeDocument/2006/relationships/hyperlink" Target="142.pdf" TargetMode="External"/><Relationship Id="rId75" Type="http://schemas.openxmlformats.org/officeDocument/2006/relationships/hyperlink" Target="DN-069-070-BAJA%202015.pdf" TargetMode="External"/><Relationship Id="rId96" Type="http://schemas.openxmlformats.org/officeDocument/2006/relationships/hyperlink" Target="540.pdf" TargetMode="External"/><Relationship Id="rId140" Type="http://schemas.openxmlformats.org/officeDocument/2006/relationships/hyperlink" Target="642.pdf" TargetMode="External"/><Relationship Id="rId161" Type="http://schemas.openxmlformats.org/officeDocument/2006/relationships/hyperlink" Target="BAJA-DN-173-2015.pdf" TargetMode="External"/><Relationship Id="rId182" Type="http://schemas.openxmlformats.org/officeDocument/2006/relationships/hyperlink" Target="BAJA%20200.pdf" TargetMode="External"/><Relationship Id="rId217" Type="http://schemas.openxmlformats.org/officeDocument/2006/relationships/hyperlink" Target="806%20(2).pdf" TargetMode="External"/><Relationship Id="rId6" Type="http://schemas.openxmlformats.org/officeDocument/2006/relationships/hyperlink" Target="46.pdf" TargetMode="External"/><Relationship Id="rId238" Type="http://schemas.openxmlformats.org/officeDocument/2006/relationships/hyperlink" Target="Reemplaza%20248%20al%20234%202015.pdf" TargetMode="External"/><Relationship Id="rId259" Type="http://schemas.openxmlformats.org/officeDocument/2006/relationships/hyperlink" Target="901.pdf" TargetMode="External"/><Relationship Id="rId23" Type="http://schemas.openxmlformats.org/officeDocument/2006/relationships/hyperlink" Target="88.pdf" TargetMode="External"/><Relationship Id="rId119" Type="http://schemas.openxmlformats.org/officeDocument/2006/relationships/hyperlink" Target="566.pdf" TargetMode="External"/><Relationship Id="rId270" Type="http://schemas.openxmlformats.org/officeDocument/2006/relationships/hyperlink" Target="906.pdf" TargetMode="External"/><Relationship Id="rId291" Type="http://schemas.openxmlformats.org/officeDocument/2006/relationships/hyperlink" Target="956.pdf" TargetMode="External"/><Relationship Id="rId305" Type="http://schemas.openxmlformats.org/officeDocument/2006/relationships/hyperlink" Target="972.pdf" TargetMode="External"/><Relationship Id="rId326" Type="http://schemas.openxmlformats.org/officeDocument/2006/relationships/hyperlink" Target="1021.pdf" TargetMode="External"/><Relationship Id="rId44" Type="http://schemas.openxmlformats.org/officeDocument/2006/relationships/hyperlink" Target="117.pdf" TargetMode="External"/><Relationship Id="rId65" Type="http://schemas.openxmlformats.org/officeDocument/2006/relationships/hyperlink" Target="174.pdf" TargetMode="External"/><Relationship Id="rId86" Type="http://schemas.openxmlformats.org/officeDocument/2006/relationships/hyperlink" Target="534.pdf" TargetMode="External"/><Relationship Id="rId130" Type="http://schemas.openxmlformats.org/officeDocument/2006/relationships/hyperlink" Target="606.pdf" TargetMode="External"/><Relationship Id="rId151" Type="http://schemas.openxmlformats.org/officeDocument/2006/relationships/hyperlink" Target="664.pdf" TargetMode="External"/><Relationship Id="rId172" Type="http://schemas.openxmlformats.org/officeDocument/2006/relationships/hyperlink" Target="715.pdf" TargetMode="External"/><Relationship Id="rId193" Type="http://schemas.openxmlformats.org/officeDocument/2006/relationships/hyperlink" Target="BAJA-DN-202-2015.pdf" TargetMode="External"/><Relationship Id="rId207" Type="http://schemas.openxmlformats.org/officeDocument/2006/relationships/hyperlink" Target="765.pdf" TargetMode="External"/><Relationship Id="rId228" Type="http://schemas.openxmlformats.org/officeDocument/2006/relationships/hyperlink" Target="829.pdf" TargetMode="External"/><Relationship Id="rId249" Type="http://schemas.openxmlformats.org/officeDocument/2006/relationships/hyperlink" Target="880.pdf" TargetMode="External"/><Relationship Id="rId13" Type="http://schemas.openxmlformats.org/officeDocument/2006/relationships/hyperlink" Target="70.pdf" TargetMode="External"/><Relationship Id="rId109" Type="http://schemas.openxmlformats.org/officeDocument/2006/relationships/hyperlink" Target="562.pdf" TargetMode="External"/><Relationship Id="rId260" Type="http://schemas.openxmlformats.org/officeDocument/2006/relationships/hyperlink" Target="902%20(2).pdf" TargetMode="External"/><Relationship Id="rId281" Type="http://schemas.openxmlformats.org/officeDocument/2006/relationships/hyperlink" Target="946%20.pdf" TargetMode="External"/><Relationship Id="rId316" Type="http://schemas.openxmlformats.org/officeDocument/2006/relationships/hyperlink" Target="BAJA-DN-306-2015.pdf" TargetMode="External"/><Relationship Id="rId337" Type="http://schemas.openxmlformats.org/officeDocument/2006/relationships/hyperlink" Target="1033.pdf" TargetMode="External"/><Relationship Id="rId34" Type="http://schemas.openxmlformats.org/officeDocument/2006/relationships/hyperlink" Target="110%20.pdf" TargetMode="External"/><Relationship Id="rId55" Type="http://schemas.openxmlformats.org/officeDocument/2006/relationships/hyperlink" Target="151.pdf" TargetMode="External"/><Relationship Id="rId76" Type="http://schemas.openxmlformats.org/officeDocument/2006/relationships/hyperlink" Target="207.pdf" TargetMode="External"/><Relationship Id="rId97" Type="http://schemas.openxmlformats.org/officeDocument/2006/relationships/hyperlink" Target="0538.pdf" TargetMode="External"/><Relationship Id="rId120" Type="http://schemas.openxmlformats.org/officeDocument/2006/relationships/hyperlink" Target="571.pdf" TargetMode="External"/><Relationship Id="rId141" Type="http://schemas.openxmlformats.org/officeDocument/2006/relationships/hyperlink" Target="640.pdf" TargetMode="External"/><Relationship Id="rId7" Type="http://schemas.openxmlformats.org/officeDocument/2006/relationships/hyperlink" Target="47.pdf" TargetMode="External"/><Relationship Id="rId162" Type="http://schemas.openxmlformats.org/officeDocument/2006/relationships/hyperlink" Target="703.pdf" TargetMode="External"/><Relationship Id="rId183" Type="http://schemas.openxmlformats.org/officeDocument/2006/relationships/hyperlink" Target="BAJA%20201.pdf" TargetMode="External"/><Relationship Id="rId218" Type="http://schemas.openxmlformats.org/officeDocument/2006/relationships/hyperlink" Target="BAJA%20-DN-216-2015.pdf" TargetMode="External"/><Relationship Id="rId239" Type="http://schemas.openxmlformats.org/officeDocument/2006/relationships/hyperlink" Target="815.pdf" TargetMode="External"/><Relationship Id="rId250" Type="http://schemas.openxmlformats.org/officeDocument/2006/relationships/hyperlink" Target="881.pdf" TargetMode="External"/><Relationship Id="rId271" Type="http://schemas.openxmlformats.org/officeDocument/2006/relationships/hyperlink" Target="906.pdf" TargetMode="External"/><Relationship Id="rId292" Type="http://schemas.openxmlformats.org/officeDocument/2006/relationships/hyperlink" Target="956.pdf" TargetMode="External"/><Relationship Id="rId306" Type="http://schemas.openxmlformats.org/officeDocument/2006/relationships/hyperlink" Target="973.pdf" TargetMode="External"/><Relationship Id="rId24" Type="http://schemas.openxmlformats.org/officeDocument/2006/relationships/hyperlink" Target="89.pdf" TargetMode="External"/><Relationship Id="rId45" Type="http://schemas.openxmlformats.org/officeDocument/2006/relationships/hyperlink" Target="130.pdf" TargetMode="External"/><Relationship Id="rId66" Type="http://schemas.openxmlformats.org/officeDocument/2006/relationships/hyperlink" Target="181.pdf" TargetMode="External"/><Relationship Id="rId87" Type="http://schemas.openxmlformats.org/officeDocument/2006/relationships/hyperlink" Target="534.pdf" TargetMode="External"/><Relationship Id="rId110" Type="http://schemas.openxmlformats.org/officeDocument/2006/relationships/hyperlink" Target="562.pdf" TargetMode="External"/><Relationship Id="rId131" Type="http://schemas.openxmlformats.org/officeDocument/2006/relationships/hyperlink" Target="614.pdf" TargetMode="External"/><Relationship Id="rId327" Type="http://schemas.openxmlformats.org/officeDocument/2006/relationships/hyperlink" Target="1019.pdf" TargetMode="External"/><Relationship Id="rId152" Type="http://schemas.openxmlformats.org/officeDocument/2006/relationships/hyperlink" Target="662.pdf" TargetMode="External"/><Relationship Id="rId173" Type="http://schemas.openxmlformats.org/officeDocument/2006/relationships/hyperlink" Target="716.pdf" TargetMode="External"/><Relationship Id="rId194" Type="http://schemas.openxmlformats.org/officeDocument/2006/relationships/hyperlink" Target="BAJA-DN-204-2015.pdf" TargetMode="External"/><Relationship Id="rId208" Type="http://schemas.openxmlformats.org/officeDocument/2006/relationships/hyperlink" Target="BAJA-DN-182-2015.pdf" TargetMode="External"/><Relationship Id="rId229" Type="http://schemas.openxmlformats.org/officeDocument/2006/relationships/hyperlink" Target="830.pdf" TargetMode="External"/><Relationship Id="rId240" Type="http://schemas.openxmlformats.org/officeDocument/2006/relationships/hyperlink" Target="BAJA-DN-245%2007-10-2015.pdf" TargetMode="External"/><Relationship Id="rId261" Type="http://schemas.openxmlformats.org/officeDocument/2006/relationships/hyperlink" Target="902%20(2).pdf" TargetMode="External"/><Relationship Id="rId14" Type="http://schemas.openxmlformats.org/officeDocument/2006/relationships/hyperlink" Target="70.pdf" TargetMode="External"/><Relationship Id="rId35" Type="http://schemas.openxmlformats.org/officeDocument/2006/relationships/hyperlink" Target="109.pdf" TargetMode="External"/><Relationship Id="rId56" Type="http://schemas.openxmlformats.org/officeDocument/2006/relationships/hyperlink" Target="150.pdf" TargetMode="External"/><Relationship Id="rId77" Type="http://schemas.openxmlformats.org/officeDocument/2006/relationships/hyperlink" Target="207.pdf" TargetMode="External"/><Relationship Id="rId100" Type="http://schemas.openxmlformats.org/officeDocument/2006/relationships/hyperlink" Target="546.pdf" TargetMode="External"/><Relationship Id="rId282" Type="http://schemas.openxmlformats.org/officeDocument/2006/relationships/hyperlink" Target="947.pdf" TargetMode="External"/><Relationship Id="rId317" Type="http://schemas.openxmlformats.org/officeDocument/2006/relationships/hyperlink" Target="BAJA-DN-340-2015%2015-12-2015.pdf" TargetMode="External"/><Relationship Id="rId338" Type="http://schemas.openxmlformats.org/officeDocument/2006/relationships/hyperlink" Target="1033.pdf" TargetMode="External"/><Relationship Id="rId8" Type="http://schemas.openxmlformats.org/officeDocument/2006/relationships/hyperlink" Target="48.pdf" TargetMode="External"/><Relationship Id="rId98" Type="http://schemas.openxmlformats.org/officeDocument/2006/relationships/hyperlink" Target="536%20(2).pdf" TargetMode="External"/><Relationship Id="rId121" Type="http://schemas.openxmlformats.org/officeDocument/2006/relationships/hyperlink" Target="569.pdf" TargetMode="External"/><Relationship Id="rId142" Type="http://schemas.openxmlformats.org/officeDocument/2006/relationships/hyperlink" Target="645.pdf" TargetMode="External"/><Relationship Id="rId163" Type="http://schemas.openxmlformats.org/officeDocument/2006/relationships/hyperlink" Target="704.pdf" TargetMode="External"/><Relationship Id="rId184" Type="http://schemas.openxmlformats.org/officeDocument/2006/relationships/hyperlink" Target="744.pdf" TargetMode="External"/><Relationship Id="rId219" Type="http://schemas.openxmlformats.org/officeDocument/2006/relationships/hyperlink" Target="BAJA-DN-0222-2015.pdf" TargetMode="External"/><Relationship Id="rId3" Type="http://schemas.openxmlformats.org/officeDocument/2006/relationships/hyperlink" Target="19.pdf" TargetMode="External"/><Relationship Id="rId214" Type="http://schemas.openxmlformats.org/officeDocument/2006/relationships/hyperlink" Target="783.pdf" TargetMode="External"/><Relationship Id="rId230" Type="http://schemas.openxmlformats.org/officeDocument/2006/relationships/hyperlink" Target="Baja-DN-238-30-09-2015.pdf" TargetMode="External"/><Relationship Id="rId235" Type="http://schemas.openxmlformats.org/officeDocument/2006/relationships/hyperlink" Target="BAJA-DN-225-02-10-2015.pdf" TargetMode="External"/><Relationship Id="rId251" Type="http://schemas.openxmlformats.org/officeDocument/2006/relationships/hyperlink" Target="873.pdf" TargetMode="External"/><Relationship Id="rId256" Type="http://schemas.openxmlformats.org/officeDocument/2006/relationships/hyperlink" Target="898.pdf" TargetMode="External"/><Relationship Id="rId277" Type="http://schemas.openxmlformats.org/officeDocument/2006/relationships/hyperlink" Target="928.pdf" TargetMode="External"/><Relationship Id="rId298" Type="http://schemas.openxmlformats.org/officeDocument/2006/relationships/hyperlink" Target="958.pdf" TargetMode="External"/><Relationship Id="rId25" Type="http://schemas.openxmlformats.org/officeDocument/2006/relationships/hyperlink" Target="87.pdf" TargetMode="External"/><Relationship Id="rId46" Type="http://schemas.openxmlformats.org/officeDocument/2006/relationships/hyperlink" Target="130.pdf" TargetMode="External"/><Relationship Id="rId67" Type="http://schemas.openxmlformats.org/officeDocument/2006/relationships/hyperlink" Target="186.pdf" TargetMode="External"/><Relationship Id="rId116" Type="http://schemas.openxmlformats.org/officeDocument/2006/relationships/hyperlink" Target="560.pdf" TargetMode="External"/><Relationship Id="rId137" Type="http://schemas.openxmlformats.org/officeDocument/2006/relationships/hyperlink" Target="625.pdf" TargetMode="External"/><Relationship Id="rId158" Type="http://schemas.openxmlformats.org/officeDocument/2006/relationships/hyperlink" Target="684.pdf" TargetMode="External"/><Relationship Id="rId272" Type="http://schemas.openxmlformats.org/officeDocument/2006/relationships/hyperlink" Target="906.pdf" TargetMode="External"/><Relationship Id="rId293" Type="http://schemas.openxmlformats.org/officeDocument/2006/relationships/hyperlink" Target="957.pdf" TargetMode="External"/><Relationship Id="rId302" Type="http://schemas.openxmlformats.org/officeDocument/2006/relationships/hyperlink" Target="970.pdf" TargetMode="External"/><Relationship Id="rId307" Type="http://schemas.openxmlformats.org/officeDocument/2006/relationships/hyperlink" Target="973.pdf" TargetMode="External"/><Relationship Id="rId323" Type="http://schemas.openxmlformats.org/officeDocument/2006/relationships/hyperlink" Target="1025.pdf" TargetMode="External"/><Relationship Id="rId328" Type="http://schemas.openxmlformats.org/officeDocument/2006/relationships/hyperlink" Target="1020.pdf" TargetMode="External"/><Relationship Id="rId20" Type="http://schemas.openxmlformats.org/officeDocument/2006/relationships/hyperlink" Target="82.pdf" TargetMode="External"/><Relationship Id="rId41" Type="http://schemas.openxmlformats.org/officeDocument/2006/relationships/hyperlink" Target="113.pdf" TargetMode="External"/><Relationship Id="rId62" Type="http://schemas.openxmlformats.org/officeDocument/2006/relationships/hyperlink" Target="169.pdf" TargetMode="External"/><Relationship Id="rId83" Type="http://schemas.openxmlformats.org/officeDocument/2006/relationships/hyperlink" Target="Baja%20DN-078.pdf" TargetMode="External"/><Relationship Id="rId88" Type="http://schemas.openxmlformats.org/officeDocument/2006/relationships/hyperlink" Target="534.pdf" TargetMode="External"/><Relationship Id="rId111" Type="http://schemas.openxmlformats.org/officeDocument/2006/relationships/hyperlink" Target="562.pdf" TargetMode="External"/><Relationship Id="rId132" Type="http://schemas.openxmlformats.org/officeDocument/2006/relationships/hyperlink" Target="599.pdf" TargetMode="External"/><Relationship Id="rId153" Type="http://schemas.openxmlformats.org/officeDocument/2006/relationships/hyperlink" Target="671.pdf" TargetMode="External"/><Relationship Id="rId174" Type="http://schemas.openxmlformats.org/officeDocument/2006/relationships/hyperlink" Target="720.pdf" TargetMode="External"/><Relationship Id="rId179" Type="http://schemas.openxmlformats.org/officeDocument/2006/relationships/hyperlink" Target="732%20y%20733.pdf" TargetMode="External"/><Relationship Id="rId195" Type="http://schemas.openxmlformats.org/officeDocument/2006/relationships/hyperlink" Target="188,189,197,196,205,206.pdf" TargetMode="External"/><Relationship Id="rId209" Type="http://schemas.openxmlformats.org/officeDocument/2006/relationships/hyperlink" Target="BAJA-DN-185-2015.pdf" TargetMode="External"/><Relationship Id="rId190" Type="http://schemas.openxmlformats.org/officeDocument/2006/relationships/hyperlink" Target="537.pdf" TargetMode="External"/><Relationship Id="rId204" Type="http://schemas.openxmlformats.org/officeDocument/2006/relationships/hyperlink" Target="762.pdf" TargetMode="External"/><Relationship Id="rId220" Type="http://schemas.openxmlformats.org/officeDocument/2006/relationships/hyperlink" Target="810.pdf" TargetMode="External"/><Relationship Id="rId225" Type="http://schemas.openxmlformats.org/officeDocument/2006/relationships/hyperlink" Target="814.pdf" TargetMode="External"/><Relationship Id="rId241" Type="http://schemas.openxmlformats.org/officeDocument/2006/relationships/hyperlink" Target="858.pdf" TargetMode="External"/><Relationship Id="rId246" Type="http://schemas.openxmlformats.org/officeDocument/2006/relationships/hyperlink" Target="869.pdf" TargetMode="External"/><Relationship Id="rId267" Type="http://schemas.openxmlformats.org/officeDocument/2006/relationships/hyperlink" Target="905.pdf" TargetMode="External"/><Relationship Id="rId288" Type="http://schemas.openxmlformats.org/officeDocument/2006/relationships/hyperlink" Target="956.pdf" TargetMode="External"/><Relationship Id="rId15" Type="http://schemas.openxmlformats.org/officeDocument/2006/relationships/hyperlink" Target="67.pdf" TargetMode="External"/><Relationship Id="rId36" Type="http://schemas.openxmlformats.org/officeDocument/2006/relationships/hyperlink" Target="108.pdf" TargetMode="External"/><Relationship Id="rId57" Type="http://schemas.openxmlformats.org/officeDocument/2006/relationships/hyperlink" Target="150.pdf" TargetMode="External"/><Relationship Id="rId106" Type="http://schemas.openxmlformats.org/officeDocument/2006/relationships/hyperlink" Target="554.pdf" TargetMode="External"/><Relationship Id="rId127" Type="http://schemas.openxmlformats.org/officeDocument/2006/relationships/hyperlink" Target="604.pdf" TargetMode="External"/><Relationship Id="rId262" Type="http://schemas.openxmlformats.org/officeDocument/2006/relationships/hyperlink" Target="902%20(2).pdf" TargetMode="External"/><Relationship Id="rId283" Type="http://schemas.openxmlformats.org/officeDocument/2006/relationships/hyperlink" Target="952.pdf" TargetMode="External"/><Relationship Id="rId313" Type="http://schemas.openxmlformats.org/officeDocument/2006/relationships/hyperlink" Target="983.pdf" TargetMode="External"/><Relationship Id="rId318" Type="http://schemas.openxmlformats.org/officeDocument/2006/relationships/hyperlink" Target="1011%20.pdf" TargetMode="External"/><Relationship Id="rId339" Type="http://schemas.openxmlformats.org/officeDocument/2006/relationships/hyperlink" Target="1031.pdf" TargetMode="External"/><Relationship Id="rId10" Type="http://schemas.openxmlformats.org/officeDocument/2006/relationships/hyperlink" Target="0023abb.pdf" TargetMode="External"/><Relationship Id="rId31" Type="http://schemas.openxmlformats.org/officeDocument/2006/relationships/hyperlink" Target="105.pdf" TargetMode="External"/><Relationship Id="rId52" Type="http://schemas.openxmlformats.org/officeDocument/2006/relationships/hyperlink" Target="135.pdf" TargetMode="External"/><Relationship Id="rId73" Type="http://schemas.openxmlformats.org/officeDocument/2006/relationships/hyperlink" Target="200.pdf" TargetMode="External"/><Relationship Id="rId78" Type="http://schemas.openxmlformats.org/officeDocument/2006/relationships/hyperlink" Target="207.pdf" TargetMode="External"/><Relationship Id="rId94" Type="http://schemas.openxmlformats.org/officeDocument/2006/relationships/hyperlink" Target="537.pdf" TargetMode="External"/><Relationship Id="rId99" Type="http://schemas.openxmlformats.org/officeDocument/2006/relationships/hyperlink" Target="545.pdf" TargetMode="External"/><Relationship Id="rId101" Type="http://schemas.openxmlformats.org/officeDocument/2006/relationships/hyperlink" Target="547.pdf" TargetMode="External"/><Relationship Id="rId122" Type="http://schemas.openxmlformats.org/officeDocument/2006/relationships/hyperlink" Target="570.pdf" TargetMode="External"/><Relationship Id="rId143" Type="http://schemas.openxmlformats.org/officeDocument/2006/relationships/hyperlink" Target="646%20.pdf" TargetMode="External"/><Relationship Id="rId148" Type="http://schemas.openxmlformats.org/officeDocument/2006/relationships/hyperlink" Target="660.pdf" TargetMode="External"/><Relationship Id="rId164" Type="http://schemas.openxmlformats.org/officeDocument/2006/relationships/hyperlink" Target="706.pdf" TargetMode="External"/><Relationship Id="rId169" Type="http://schemas.openxmlformats.org/officeDocument/2006/relationships/hyperlink" Target="697.pdf" TargetMode="External"/><Relationship Id="rId185" Type="http://schemas.openxmlformats.org/officeDocument/2006/relationships/hyperlink" Target="743.pdf" TargetMode="External"/><Relationship Id="rId334" Type="http://schemas.openxmlformats.org/officeDocument/2006/relationships/hyperlink" Target="1032.pdf" TargetMode="External"/><Relationship Id="rId4" Type="http://schemas.openxmlformats.org/officeDocument/2006/relationships/hyperlink" Target="20.pdf" TargetMode="External"/><Relationship Id="rId9" Type="http://schemas.openxmlformats.org/officeDocument/2006/relationships/hyperlink" Target="DN-04-Baja-27-01-2015.pdf" TargetMode="External"/><Relationship Id="rId180" Type="http://schemas.openxmlformats.org/officeDocument/2006/relationships/hyperlink" Target="730%20%20y%20731.pdf" TargetMode="External"/><Relationship Id="rId210" Type="http://schemas.openxmlformats.org/officeDocument/2006/relationships/hyperlink" Target="759.pdf" TargetMode="External"/><Relationship Id="rId215" Type="http://schemas.openxmlformats.org/officeDocument/2006/relationships/hyperlink" Target="790.pdf" TargetMode="External"/><Relationship Id="rId236" Type="http://schemas.openxmlformats.org/officeDocument/2006/relationships/hyperlink" Target="BAJA-DN-0249%2005-10-2015.pdf" TargetMode="External"/><Relationship Id="rId257" Type="http://schemas.openxmlformats.org/officeDocument/2006/relationships/hyperlink" Target="899.pdf" TargetMode="External"/><Relationship Id="rId278" Type="http://schemas.openxmlformats.org/officeDocument/2006/relationships/hyperlink" Target="929.pdf" TargetMode="External"/><Relationship Id="rId26" Type="http://schemas.openxmlformats.org/officeDocument/2006/relationships/hyperlink" Target="DN-BAJA-002.pdf" TargetMode="External"/><Relationship Id="rId231" Type="http://schemas.openxmlformats.org/officeDocument/2006/relationships/hyperlink" Target="826.pdf" TargetMode="External"/><Relationship Id="rId252" Type="http://schemas.openxmlformats.org/officeDocument/2006/relationships/hyperlink" Target="888.pdf" TargetMode="External"/><Relationship Id="rId273" Type="http://schemas.openxmlformats.org/officeDocument/2006/relationships/hyperlink" Target="907.pdf" TargetMode="External"/><Relationship Id="rId294" Type="http://schemas.openxmlformats.org/officeDocument/2006/relationships/hyperlink" Target="957.pdf" TargetMode="External"/><Relationship Id="rId308" Type="http://schemas.openxmlformats.org/officeDocument/2006/relationships/hyperlink" Target="973.pdf" TargetMode="External"/><Relationship Id="rId329" Type="http://schemas.openxmlformats.org/officeDocument/2006/relationships/hyperlink" Target="1022.pdf" TargetMode="External"/><Relationship Id="rId47" Type="http://schemas.openxmlformats.org/officeDocument/2006/relationships/hyperlink" Target="129.pdf" TargetMode="External"/><Relationship Id="rId68" Type="http://schemas.openxmlformats.org/officeDocument/2006/relationships/hyperlink" Target="190.pdf" TargetMode="External"/><Relationship Id="rId89" Type="http://schemas.openxmlformats.org/officeDocument/2006/relationships/hyperlink" Target="534.pdf" TargetMode="External"/><Relationship Id="rId112" Type="http://schemas.openxmlformats.org/officeDocument/2006/relationships/hyperlink" Target="562.pdf" TargetMode="External"/><Relationship Id="rId133" Type="http://schemas.openxmlformats.org/officeDocument/2006/relationships/hyperlink" Target="600.pdf" TargetMode="External"/><Relationship Id="rId154" Type="http://schemas.openxmlformats.org/officeDocument/2006/relationships/hyperlink" Target="672.pdf" TargetMode="External"/><Relationship Id="rId175" Type="http://schemas.openxmlformats.org/officeDocument/2006/relationships/hyperlink" Target="727.pdf" TargetMode="External"/><Relationship Id="rId340" Type="http://schemas.openxmlformats.org/officeDocument/2006/relationships/hyperlink" Target="BAJA%20DN%20333%202015%2013%20ENERO%202016.pdf" TargetMode="External"/><Relationship Id="rId196" Type="http://schemas.openxmlformats.org/officeDocument/2006/relationships/hyperlink" Target="188,189,197,196,205,206.pdf" TargetMode="External"/><Relationship Id="rId200" Type="http://schemas.openxmlformats.org/officeDocument/2006/relationships/hyperlink" Target="188,189,197,196,205,206.pdf" TargetMode="External"/><Relationship Id="rId16" Type="http://schemas.openxmlformats.org/officeDocument/2006/relationships/hyperlink" Target="67.pdf" TargetMode="External"/><Relationship Id="rId221" Type="http://schemas.openxmlformats.org/officeDocument/2006/relationships/hyperlink" Target="813.pdf" TargetMode="External"/><Relationship Id="rId242" Type="http://schemas.openxmlformats.org/officeDocument/2006/relationships/hyperlink" Target="861.pdf" TargetMode="External"/><Relationship Id="rId263" Type="http://schemas.openxmlformats.org/officeDocument/2006/relationships/hyperlink" Target="902%20(2).pdf" TargetMode="External"/><Relationship Id="rId284" Type="http://schemas.openxmlformats.org/officeDocument/2006/relationships/hyperlink" Target="953.pdf" TargetMode="External"/><Relationship Id="rId319" Type="http://schemas.openxmlformats.org/officeDocument/2006/relationships/hyperlink" Target="1012.pdf" TargetMode="External"/><Relationship Id="rId37" Type="http://schemas.openxmlformats.org/officeDocument/2006/relationships/hyperlink" Target="107.pdf" TargetMode="External"/><Relationship Id="rId58" Type="http://schemas.openxmlformats.org/officeDocument/2006/relationships/hyperlink" Target="150.pdf" TargetMode="External"/><Relationship Id="rId79" Type="http://schemas.openxmlformats.org/officeDocument/2006/relationships/hyperlink" Target="207.pdf" TargetMode="External"/><Relationship Id="rId102" Type="http://schemas.openxmlformats.org/officeDocument/2006/relationships/hyperlink" Target="DN-102-2015-BAJA.pdf" TargetMode="External"/><Relationship Id="rId123" Type="http://schemas.openxmlformats.org/officeDocument/2006/relationships/hyperlink" Target="Baja%20-DN-127-2015.pdf" TargetMode="External"/><Relationship Id="rId144" Type="http://schemas.openxmlformats.org/officeDocument/2006/relationships/hyperlink" Target="648.pdf" TargetMode="External"/><Relationship Id="rId330" Type="http://schemas.openxmlformats.org/officeDocument/2006/relationships/hyperlink" Target="OFICIO%20No.%20312.02.1018%20DN%200343%202015.pdf" TargetMode="External"/><Relationship Id="rId90" Type="http://schemas.openxmlformats.org/officeDocument/2006/relationships/hyperlink" Target="534.pdf" TargetMode="External"/><Relationship Id="rId165" Type="http://schemas.openxmlformats.org/officeDocument/2006/relationships/hyperlink" Target="707.pdf" TargetMode="External"/><Relationship Id="rId186" Type="http://schemas.openxmlformats.org/officeDocument/2006/relationships/hyperlink" Target="745.pdf" TargetMode="External"/><Relationship Id="rId211" Type="http://schemas.openxmlformats.org/officeDocument/2006/relationships/hyperlink" Target="775.pdf" TargetMode="External"/><Relationship Id="rId232" Type="http://schemas.openxmlformats.org/officeDocument/2006/relationships/hyperlink" Target="827.pdf" TargetMode="External"/><Relationship Id="rId253" Type="http://schemas.openxmlformats.org/officeDocument/2006/relationships/hyperlink" Target="889.pdf" TargetMode="External"/><Relationship Id="rId274" Type="http://schemas.openxmlformats.org/officeDocument/2006/relationships/hyperlink" Target="917.pdf" TargetMode="External"/><Relationship Id="rId295" Type="http://schemas.openxmlformats.org/officeDocument/2006/relationships/hyperlink" Target="958.pdf" TargetMode="External"/><Relationship Id="rId309" Type="http://schemas.openxmlformats.org/officeDocument/2006/relationships/hyperlink" Target="973.pdf" TargetMode="External"/><Relationship Id="rId27" Type="http://schemas.openxmlformats.org/officeDocument/2006/relationships/hyperlink" Target="DN-0022-2015%20Baja%2009-02-2015.pdf" TargetMode="External"/><Relationship Id="rId48" Type="http://schemas.openxmlformats.org/officeDocument/2006/relationships/hyperlink" Target="129.pdf" TargetMode="External"/><Relationship Id="rId69" Type="http://schemas.openxmlformats.org/officeDocument/2006/relationships/hyperlink" Target="191.pdf" TargetMode="External"/><Relationship Id="rId113" Type="http://schemas.openxmlformats.org/officeDocument/2006/relationships/hyperlink" Target="562.pdf" TargetMode="External"/><Relationship Id="rId134" Type="http://schemas.openxmlformats.org/officeDocument/2006/relationships/hyperlink" Target="626.pdf" TargetMode="External"/><Relationship Id="rId320" Type="http://schemas.openxmlformats.org/officeDocument/2006/relationships/hyperlink" Target="1013.pdf" TargetMode="External"/><Relationship Id="rId80" Type="http://schemas.openxmlformats.org/officeDocument/2006/relationships/hyperlink" Target="207.pdf" TargetMode="External"/><Relationship Id="rId155" Type="http://schemas.openxmlformats.org/officeDocument/2006/relationships/hyperlink" Target="BAJA-DN-0154-2015.pdf" TargetMode="External"/><Relationship Id="rId176" Type="http://schemas.openxmlformats.org/officeDocument/2006/relationships/hyperlink" Target="Baja%20DN%20174.pdf" TargetMode="External"/><Relationship Id="rId197" Type="http://schemas.openxmlformats.org/officeDocument/2006/relationships/hyperlink" Target="188,189,197,196,205,206.pdf" TargetMode="External"/><Relationship Id="rId341" Type="http://schemas.openxmlformats.org/officeDocument/2006/relationships/hyperlink" Target="1024.pdf" TargetMode="External"/><Relationship Id="rId201" Type="http://schemas.openxmlformats.org/officeDocument/2006/relationships/hyperlink" Target="BAJA-DN-182-2015.pdf" TargetMode="External"/><Relationship Id="rId222" Type="http://schemas.openxmlformats.org/officeDocument/2006/relationships/hyperlink" Target="811.pdf" TargetMode="External"/><Relationship Id="rId243" Type="http://schemas.openxmlformats.org/officeDocument/2006/relationships/hyperlink" Target="Baja%20DN%20239.pdf" TargetMode="External"/><Relationship Id="rId264" Type="http://schemas.openxmlformats.org/officeDocument/2006/relationships/hyperlink" Target="902%20(2).pdf" TargetMode="External"/><Relationship Id="rId285" Type="http://schemas.openxmlformats.org/officeDocument/2006/relationships/hyperlink" Target="954.pdf" TargetMode="External"/><Relationship Id="rId17" Type="http://schemas.openxmlformats.org/officeDocument/2006/relationships/hyperlink" Target="68.pdf" TargetMode="External"/><Relationship Id="rId38" Type="http://schemas.openxmlformats.org/officeDocument/2006/relationships/hyperlink" Target="116.pdf" TargetMode="External"/><Relationship Id="rId59" Type="http://schemas.openxmlformats.org/officeDocument/2006/relationships/hyperlink" Target="159.pdf" TargetMode="External"/><Relationship Id="rId103" Type="http://schemas.openxmlformats.org/officeDocument/2006/relationships/hyperlink" Target="540.pdf" TargetMode="External"/><Relationship Id="rId124" Type="http://schemas.openxmlformats.org/officeDocument/2006/relationships/hyperlink" Target="562.pdf" TargetMode="External"/><Relationship Id="rId310" Type="http://schemas.openxmlformats.org/officeDocument/2006/relationships/hyperlink" Target="974.pdf" TargetMode="External"/><Relationship Id="rId70" Type="http://schemas.openxmlformats.org/officeDocument/2006/relationships/hyperlink" Target="185.pdf" TargetMode="External"/><Relationship Id="rId91" Type="http://schemas.openxmlformats.org/officeDocument/2006/relationships/hyperlink" Target="534.pdf" TargetMode="External"/><Relationship Id="rId145" Type="http://schemas.openxmlformats.org/officeDocument/2006/relationships/hyperlink" Target="659.pdf" TargetMode="External"/><Relationship Id="rId166" Type="http://schemas.openxmlformats.org/officeDocument/2006/relationships/hyperlink" Target="BAJA-DN-0167-2015.pdf" TargetMode="External"/><Relationship Id="rId187" Type="http://schemas.openxmlformats.org/officeDocument/2006/relationships/hyperlink" Target="746%20y%20747.pdf" TargetMode="External"/><Relationship Id="rId331" Type="http://schemas.openxmlformats.org/officeDocument/2006/relationships/hyperlink" Target="Oficio%20312.02.1012-DN-0324%20y%200341-2015.pdf" TargetMode="External"/><Relationship Id="rId1" Type="http://schemas.openxmlformats.org/officeDocument/2006/relationships/hyperlink" Target="21.pdf" TargetMode="External"/><Relationship Id="rId212" Type="http://schemas.openxmlformats.org/officeDocument/2006/relationships/hyperlink" Target="782.pdf" TargetMode="External"/><Relationship Id="rId233" Type="http://schemas.openxmlformats.org/officeDocument/2006/relationships/hyperlink" Target="825.pdf" TargetMode="External"/><Relationship Id="rId254" Type="http://schemas.openxmlformats.org/officeDocument/2006/relationships/hyperlink" Target="894.pdf" TargetMode="External"/><Relationship Id="rId28" Type="http://schemas.openxmlformats.org/officeDocument/2006/relationships/hyperlink" Target="96.pdf" TargetMode="External"/><Relationship Id="rId49" Type="http://schemas.openxmlformats.org/officeDocument/2006/relationships/hyperlink" Target="128.pdf" TargetMode="External"/><Relationship Id="rId114" Type="http://schemas.openxmlformats.org/officeDocument/2006/relationships/hyperlink" Target="562.pdf" TargetMode="External"/><Relationship Id="rId275" Type="http://schemas.openxmlformats.org/officeDocument/2006/relationships/hyperlink" Target="916.pdf" TargetMode="External"/><Relationship Id="rId296" Type="http://schemas.openxmlformats.org/officeDocument/2006/relationships/hyperlink" Target="958.pdf" TargetMode="External"/><Relationship Id="rId300" Type="http://schemas.openxmlformats.org/officeDocument/2006/relationships/hyperlink" Target="969.pdf" TargetMode="External"/><Relationship Id="rId60" Type="http://schemas.openxmlformats.org/officeDocument/2006/relationships/hyperlink" Target="158.pdf" TargetMode="External"/><Relationship Id="rId81" Type="http://schemas.openxmlformats.org/officeDocument/2006/relationships/hyperlink" Target="207.pdf" TargetMode="External"/><Relationship Id="rId135" Type="http://schemas.openxmlformats.org/officeDocument/2006/relationships/hyperlink" Target="628.pdf" TargetMode="External"/><Relationship Id="rId156" Type="http://schemas.openxmlformats.org/officeDocument/2006/relationships/hyperlink" Target="BAJA-DN-0150-2015.pdf" TargetMode="External"/><Relationship Id="rId177" Type="http://schemas.openxmlformats.org/officeDocument/2006/relationships/hyperlink" Target="Baja%20DN%20199.pdf" TargetMode="External"/><Relationship Id="rId198" Type="http://schemas.openxmlformats.org/officeDocument/2006/relationships/hyperlink" Target="188,189,197,196,205,206.pdf" TargetMode="External"/><Relationship Id="rId321" Type="http://schemas.openxmlformats.org/officeDocument/2006/relationships/hyperlink" Target="1014.pdf" TargetMode="External"/><Relationship Id="rId342" Type="http://schemas.openxmlformats.org/officeDocument/2006/relationships/printerSettings" Target="../printerSettings/printerSettings2.bin"/><Relationship Id="rId202" Type="http://schemas.openxmlformats.org/officeDocument/2006/relationships/hyperlink" Target="BAJA-DN-0209-2015.pdf" TargetMode="External"/><Relationship Id="rId223" Type="http://schemas.openxmlformats.org/officeDocument/2006/relationships/hyperlink" Target="Baja-DN-246-%2029-09-2015.pdf" TargetMode="External"/><Relationship Id="rId244" Type="http://schemas.openxmlformats.org/officeDocument/2006/relationships/hyperlink" Target="Baja-DN-0243%2012-10-2015.pdf" TargetMode="External"/><Relationship Id="rId18" Type="http://schemas.openxmlformats.org/officeDocument/2006/relationships/hyperlink" Target="68.pdf" TargetMode="External"/><Relationship Id="rId39" Type="http://schemas.openxmlformats.org/officeDocument/2006/relationships/hyperlink" Target="115.pdf" TargetMode="External"/><Relationship Id="rId265" Type="http://schemas.openxmlformats.org/officeDocument/2006/relationships/hyperlink" Target="903.pdf" TargetMode="External"/><Relationship Id="rId286" Type="http://schemas.openxmlformats.org/officeDocument/2006/relationships/hyperlink" Target="955.pdf" TargetMode="External"/><Relationship Id="rId50" Type="http://schemas.openxmlformats.org/officeDocument/2006/relationships/hyperlink" Target="128.pdf" TargetMode="External"/><Relationship Id="rId104" Type="http://schemas.openxmlformats.org/officeDocument/2006/relationships/hyperlink" Target="Baja-556.pdf" TargetMode="External"/><Relationship Id="rId125" Type="http://schemas.openxmlformats.org/officeDocument/2006/relationships/hyperlink" Target="562.pdf" TargetMode="External"/><Relationship Id="rId146" Type="http://schemas.openxmlformats.org/officeDocument/2006/relationships/hyperlink" Target="660.pdf" TargetMode="External"/><Relationship Id="rId167" Type="http://schemas.openxmlformats.org/officeDocument/2006/relationships/hyperlink" Target="696.pdf" TargetMode="External"/><Relationship Id="rId188" Type="http://schemas.openxmlformats.org/officeDocument/2006/relationships/hyperlink" Target="DN-0177-2015.pdf" TargetMode="External"/><Relationship Id="rId311" Type="http://schemas.openxmlformats.org/officeDocument/2006/relationships/hyperlink" Target="974.pdf" TargetMode="External"/><Relationship Id="rId332" Type="http://schemas.openxmlformats.org/officeDocument/2006/relationships/hyperlink" Target="1030.pdf" TargetMode="External"/><Relationship Id="rId71" Type="http://schemas.openxmlformats.org/officeDocument/2006/relationships/hyperlink" Target="194.pdf" TargetMode="External"/><Relationship Id="rId92" Type="http://schemas.openxmlformats.org/officeDocument/2006/relationships/hyperlink" Target="533.pdf" TargetMode="External"/><Relationship Id="rId213" Type="http://schemas.openxmlformats.org/officeDocument/2006/relationships/hyperlink" Target="781.pdf" TargetMode="External"/><Relationship Id="rId234" Type="http://schemas.openxmlformats.org/officeDocument/2006/relationships/hyperlink" Target="Baja-DN-224-02-10-2015.pdf" TargetMode="External"/><Relationship Id="rId2" Type="http://schemas.openxmlformats.org/officeDocument/2006/relationships/hyperlink" Target="07.pdf" TargetMode="External"/><Relationship Id="rId29" Type="http://schemas.openxmlformats.org/officeDocument/2006/relationships/hyperlink" Target="97.pdf" TargetMode="External"/><Relationship Id="rId255" Type="http://schemas.openxmlformats.org/officeDocument/2006/relationships/hyperlink" Target="895.pdf" TargetMode="External"/><Relationship Id="rId276" Type="http://schemas.openxmlformats.org/officeDocument/2006/relationships/hyperlink" Target="BAJA-DN-0274%2003-11-2015.pdf" TargetMode="External"/><Relationship Id="rId297" Type="http://schemas.openxmlformats.org/officeDocument/2006/relationships/hyperlink" Target="958.pdf" TargetMode="External"/><Relationship Id="rId40" Type="http://schemas.openxmlformats.org/officeDocument/2006/relationships/hyperlink" Target="114.pdf" TargetMode="External"/><Relationship Id="rId115" Type="http://schemas.openxmlformats.org/officeDocument/2006/relationships/hyperlink" Target="Baja%20DN-0112.pdf" TargetMode="External"/><Relationship Id="rId136" Type="http://schemas.openxmlformats.org/officeDocument/2006/relationships/hyperlink" Target="627.pdf" TargetMode="External"/><Relationship Id="rId157" Type="http://schemas.openxmlformats.org/officeDocument/2006/relationships/hyperlink" Target="BAJA-DN-0165.pdf" TargetMode="External"/><Relationship Id="rId178" Type="http://schemas.openxmlformats.org/officeDocument/2006/relationships/hyperlink" Target="735.pdf" TargetMode="External"/><Relationship Id="rId301" Type="http://schemas.openxmlformats.org/officeDocument/2006/relationships/hyperlink" Target="968.pdf" TargetMode="External"/><Relationship Id="rId322" Type="http://schemas.openxmlformats.org/officeDocument/2006/relationships/hyperlink" Target="BAJA-DN-0325%2018-12-2015.pdf" TargetMode="External"/><Relationship Id="rId61" Type="http://schemas.openxmlformats.org/officeDocument/2006/relationships/hyperlink" Target="151.pdf" TargetMode="External"/><Relationship Id="rId82" Type="http://schemas.openxmlformats.org/officeDocument/2006/relationships/hyperlink" Target="DN-079-2015-BAJA.pdf" TargetMode="External"/><Relationship Id="rId199" Type="http://schemas.openxmlformats.org/officeDocument/2006/relationships/hyperlink" Target="188,189,197,196,205,206.pdf" TargetMode="External"/><Relationship Id="rId203" Type="http://schemas.openxmlformats.org/officeDocument/2006/relationships/hyperlink" Target="764.pdf" TargetMode="External"/><Relationship Id="rId19" Type="http://schemas.openxmlformats.org/officeDocument/2006/relationships/hyperlink" Target="69.pdf" TargetMode="External"/><Relationship Id="rId224" Type="http://schemas.openxmlformats.org/officeDocument/2006/relationships/hyperlink" Target="812%20.pdf" TargetMode="External"/><Relationship Id="rId245" Type="http://schemas.openxmlformats.org/officeDocument/2006/relationships/hyperlink" Target="Baja-DN-0231%2012-10-2015.pdf" TargetMode="External"/><Relationship Id="rId266" Type="http://schemas.openxmlformats.org/officeDocument/2006/relationships/hyperlink" Target="904.pdf" TargetMode="External"/><Relationship Id="rId287" Type="http://schemas.openxmlformats.org/officeDocument/2006/relationships/hyperlink" Target="955.pdf" TargetMode="External"/><Relationship Id="rId30" Type="http://schemas.openxmlformats.org/officeDocument/2006/relationships/hyperlink" Target="101.pdf" TargetMode="External"/><Relationship Id="rId105" Type="http://schemas.openxmlformats.org/officeDocument/2006/relationships/hyperlink" Target="555.pdf" TargetMode="External"/><Relationship Id="rId126" Type="http://schemas.openxmlformats.org/officeDocument/2006/relationships/hyperlink" Target="592.pdf" TargetMode="External"/><Relationship Id="rId147" Type="http://schemas.openxmlformats.org/officeDocument/2006/relationships/hyperlink" Target="660.pdf" TargetMode="External"/><Relationship Id="rId168" Type="http://schemas.openxmlformats.org/officeDocument/2006/relationships/hyperlink" Target="698.pdf" TargetMode="External"/><Relationship Id="rId312" Type="http://schemas.openxmlformats.org/officeDocument/2006/relationships/hyperlink" Target="974.pdf" TargetMode="External"/><Relationship Id="rId333" Type="http://schemas.openxmlformats.org/officeDocument/2006/relationships/hyperlink" Target="1032.pdf" TargetMode="External"/><Relationship Id="rId51" Type="http://schemas.openxmlformats.org/officeDocument/2006/relationships/hyperlink" Target="Baja%20DN-0035.pdf" TargetMode="External"/><Relationship Id="rId72" Type="http://schemas.openxmlformats.org/officeDocument/2006/relationships/hyperlink" Target="195.pdf" TargetMode="External"/><Relationship Id="rId93" Type="http://schemas.openxmlformats.org/officeDocument/2006/relationships/hyperlink" Target="536.pdf" TargetMode="External"/><Relationship Id="rId189" Type="http://schemas.openxmlformats.org/officeDocument/2006/relationships/hyperlink" Target="548.pd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5.xm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theme="4" tint="0.39997558519241921"/>
  </sheetPr>
  <dimension ref="A12:L306"/>
  <sheetViews>
    <sheetView workbookViewId="0">
      <pane ySplit="12" topLeftCell="A283" activePane="bottomLeft" state="frozen"/>
      <selection pane="bottomLeft" activeCell="E295" sqref="E295"/>
    </sheetView>
  </sheetViews>
  <sheetFormatPr baseColWidth="10" defaultRowHeight="15"/>
  <cols>
    <col min="1" max="2" width="18.28515625" bestFit="1" customWidth="1"/>
    <col min="3" max="3" width="20.140625" customWidth="1"/>
    <col min="4" max="4" width="28.5703125" bestFit="1" customWidth="1"/>
    <col min="5" max="5" width="25.7109375" bestFit="1" customWidth="1"/>
    <col min="6" max="6" width="30.5703125" style="5" bestFit="1" customWidth="1"/>
    <col min="7" max="7" width="22.85546875" bestFit="1" customWidth="1"/>
    <col min="8" max="8" width="28.5703125" bestFit="1" customWidth="1"/>
    <col min="9" max="9" width="11.7109375" customWidth="1"/>
    <col min="10" max="10" width="18.28515625" customWidth="1"/>
    <col min="11" max="11" width="15.7109375" customWidth="1"/>
    <col min="12" max="12" width="17.5703125" customWidth="1"/>
    <col min="13" max="13" width="15.140625" customWidth="1"/>
    <col min="14" max="14" width="33" customWidth="1"/>
  </cols>
  <sheetData>
    <row r="12" spans="2:7">
      <c r="B12" s="5"/>
      <c r="C12" s="5"/>
      <c r="E12" s="5"/>
      <c r="G12" s="5"/>
    </row>
    <row r="13" spans="2:7">
      <c r="B13" s="1" t="s">
        <v>175</v>
      </c>
      <c r="C13" s="7" t="s">
        <v>952</v>
      </c>
      <c r="E13" s="5"/>
      <c r="G13" s="5"/>
    </row>
    <row r="14" spans="2:7">
      <c r="B14" s="1" t="s">
        <v>9</v>
      </c>
      <c r="C14" s="3">
        <v>42360</v>
      </c>
      <c r="E14" s="5"/>
      <c r="G14" s="5"/>
    </row>
    <row r="15" spans="2:7">
      <c r="B15" s="1" t="s">
        <v>4</v>
      </c>
      <c r="C15" s="2" t="s">
        <v>944</v>
      </c>
      <c r="E15" s="5"/>
      <c r="G15" s="5"/>
    </row>
    <row r="16" spans="2:7">
      <c r="B16" s="1" t="s">
        <v>5</v>
      </c>
      <c r="C16" s="2" t="s">
        <v>243</v>
      </c>
      <c r="E16" s="5"/>
      <c r="G16" s="5"/>
    </row>
    <row r="17" spans="1:11">
      <c r="B17" s="1" t="s">
        <v>6</v>
      </c>
      <c r="C17" s="11" t="s">
        <v>354</v>
      </c>
      <c r="E17" s="5"/>
      <c r="G17" s="5"/>
    </row>
    <row r="18" spans="1:11">
      <c r="B18" s="1" t="s">
        <v>177</v>
      </c>
      <c r="C18" s="2" t="s">
        <v>975</v>
      </c>
      <c r="E18" s="5"/>
      <c r="G18" s="5"/>
    </row>
    <row r="19" spans="1:11">
      <c r="B19" s="1" t="s">
        <v>174</v>
      </c>
      <c r="C19" s="2" t="str">
        <f>VLOOKUP($C$15,$C$31:$D$124,2,FALSE)</f>
        <v>Transformadores</v>
      </c>
      <c r="E19" s="5"/>
    </row>
    <row r="20" spans="1:11">
      <c r="B20" s="1" t="s">
        <v>7</v>
      </c>
      <c r="C20" s="2" t="s">
        <v>170</v>
      </c>
      <c r="E20" s="5"/>
    </row>
    <row r="21" spans="1:11">
      <c r="C21" s="5"/>
    </row>
    <row r="22" spans="1:11">
      <c r="C22" s="5"/>
    </row>
    <row r="23" spans="1:11">
      <c r="A23" s="5"/>
    </row>
    <row r="25" spans="1:11">
      <c r="C25" s="5"/>
    </row>
    <row r="26" spans="1:11">
      <c r="C26" s="5"/>
    </row>
    <row r="27" spans="1:11">
      <c r="C27" s="5"/>
      <c r="D27" s="5"/>
    </row>
    <row r="28" spans="1:11">
      <c r="C28" s="5"/>
      <c r="G28" s="5"/>
    </row>
    <row r="30" spans="1:11">
      <c r="A30" s="4" t="s">
        <v>5</v>
      </c>
      <c r="C30" s="4" t="s">
        <v>4</v>
      </c>
      <c r="D30" s="4" t="s">
        <v>174</v>
      </c>
      <c r="E30" s="4" t="s">
        <v>284</v>
      </c>
      <c r="F30" s="4"/>
      <c r="H30" s="4" t="s">
        <v>169</v>
      </c>
      <c r="K30" s="4" t="s">
        <v>7</v>
      </c>
    </row>
    <row r="31" spans="1:11">
      <c r="A31" s="5" t="s">
        <v>56</v>
      </c>
      <c r="B31" s="5"/>
      <c r="C31" s="5" t="s">
        <v>197</v>
      </c>
      <c r="D31" s="5" t="s">
        <v>138</v>
      </c>
      <c r="E31" s="5" t="s">
        <v>285</v>
      </c>
      <c r="H31" s="5" t="s">
        <v>142</v>
      </c>
      <c r="I31">
        <v>1</v>
      </c>
      <c r="K31" s="5" t="s">
        <v>549</v>
      </c>
    </row>
    <row r="32" spans="1:11">
      <c r="A32" t="s">
        <v>10</v>
      </c>
      <c r="B32" s="5"/>
      <c r="C32" s="5" t="s">
        <v>180</v>
      </c>
      <c r="D32" s="5" t="s">
        <v>138</v>
      </c>
      <c r="E32" s="5" t="s">
        <v>285</v>
      </c>
      <c r="H32" s="5" t="s">
        <v>140</v>
      </c>
      <c r="I32">
        <v>1</v>
      </c>
      <c r="K32" s="5" t="s">
        <v>170</v>
      </c>
    </row>
    <row r="33" spans="1:11">
      <c r="A33" t="s">
        <v>243</v>
      </c>
      <c r="B33" s="5"/>
      <c r="C33" s="89" t="s">
        <v>308</v>
      </c>
      <c r="D33" s="5" t="s">
        <v>138</v>
      </c>
      <c r="E33" s="5" t="s">
        <v>285</v>
      </c>
      <c r="H33" s="5" t="s">
        <v>152</v>
      </c>
      <c r="I33">
        <v>1</v>
      </c>
      <c r="K33" s="5" t="s">
        <v>172</v>
      </c>
    </row>
    <row r="34" spans="1:11">
      <c r="A34" t="s">
        <v>248</v>
      </c>
      <c r="C34" s="5" t="s">
        <v>951</v>
      </c>
      <c r="D34" s="5" t="s">
        <v>138</v>
      </c>
      <c r="E34" s="5" t="s">
        <v>285</v>
      </c>
      <c r="H34" s="5" t="s">
        <v>155</v>
      </c>
      <c r="I34">
        <v>1</v>
      </c>
      <c r="K34" s="5" t="s">
        <v>341</v>
      </c>
    </row>
    <row r="35" spans="1:11">
      <c r="A35" s="5"/>
      <c r="B35" s="5"/>
      <c r="C35" s="89" t="s">
        <v>953</v>
      </c>
      <c r="D35" s="5" t="s">
        <v>138</v>
      </c>
      <c r="E35" s="5" t="s">
        <v>285</v>
      </c>
      <c r="H35" s="5" t="s">
        <v>161</v>
      </c>
      <c r="I35">
        <v>1</v>
      </c>
      <c r="K35" s="5" t="s">
        <v>171</v>
      </c>
    </row>
    <row r="36" spans="1:11">
      <c r="A36" s="4" t="s">
        <v>173</v>
      </c>
      <c r="B36" s="5"/>
      <c r="C36" s="5" t="s">
        <v>184</v>
      </c>
      <c r="D36" s="5" t="s">
        <v>138</v>
      </c>
      <c r="E36" s="5" t="s">
        <v>285</v>
      </c>
      <c r="H36" s="5" t="s">
        <v>160</v>
      </c>
      <c r="I36" s="5">
        <v>1</v>
      </c>
    </row>
    <row r="37" spans="1:11">
      <c r="A37">
        <v>1</v>
      </c>
      <c r="B37" s="5" t="s">
        <v>950</v>
      </c>
      <c r="C37" s="5" t="s">
        <v>185</v>
      </c>
      <c r="D37" s="5" t="s">
        <v>138</v>
      </c>
      <c r="E37" s="5" t="s">
        <v>285</v>
      </c>
      <c r="H37" s="5" t="s">
        <v>141</v>
      </c>
      <c r="I37" s="5">
        <v>1</v>
      </c>
      <c r="K37" s="5"/>
    </row>
    <row r="38" spans="1:11">
      <c r="A38">
        <v>2</v>
      </c>
      <c r="B38" s="5"/>
      <c r="C38" s="5" t="s">
        <v>183</v>
      </c>
      <c r="D38" s="5" t="s">
        <v>138</v>
      </c>
      <c r="E38" s="5" t="s">
        <v>285</v>
      </c>
      <c r="H38" s="5" t="s">
        <v>148</v>
      </c>
      <c r="I38" s="5">
        <v>1</v>
      </c>
      <c r="K38" s="5"/>
    </row>
    <row r="39" spans="1:11">
      <c r="A39">
        <v>3</v>
      </c>
      <c r="B39" s="5"/>
      <c r="C39" s="5" t="s">
        <v>249</v>
      </c>
      <c r="D39" s="5" t="s">
        <v>162</v>
      </c>
      <c r="E39" s="5" t="s">
        <v>286</v>
      </c>
      <c r="H39" s="5" t="s">
        <v>164</v>
      </c>
      <c r="I39" s="5">
        <v>1</v>
      </c>
      <c r="K39" s="5"/>
    </row>
    <row r="40" spans="1:11">
      <c r="A40">
        <v>4</v>
      </c>
      <c r="B40" s="5"/>
      <c r="C40" s="89" t="s">
        <v>954</v>
      </c>
      <c r="D40" s="5" t="s">
        <v>138</v>
      </c>
      <c r="E40" s="5" t="s">
        <v>285</v>
      </c>
      <c r="H40" s="5" t="s">
        <v>262</v>
      </c>
      <c r="I40" s="5">
        <v>1</v>
      </c>
      <c r="K40" s="5"/>
    </row>
    <row r="41" spans="1:11">
      <c r="A41">
        <v>5</v>
      </c>
      <c r="B41" s="5"/>
      <c r="C41" s="5" t="s">
        <v>186</v>
      </c>
      <c r="D41" s="5" t="s">
        <v>138</v>
      </c>
      <c r="E41" s="5" t="s">
        <v>285</v>
      </c>
      <c r="H41" s="5" t="s">
        <v>168</v>
      </c>
      <c r="I41" s="5">
        <v>1</v>
      </c>
      <c r="K41" s="5"/>
    </row>
    <row r="42" spans="1:11">
      <c r="A42">
        <v>6</v>
      </c>
      <c r="B42" s="5"/>
      <c r="C42" s="5" t="s">
        <v>182</v>
      </c>
      <c r="D42" s="5" t="s">
        <v>138</v>
      </c>
      <c r="E42" s="5" t="s">
        <v>287</v>
      </c>
      <c r="H42" s="5" t="s">
        <v>149</v>
      </c>
      <c r="I42" s="5">
        <v>1</v>
      </c>
      <c r="K42" s="5"/>
    </row>
    <row r="43" spans="1:11">
      <c r="A43">
        <v>7</v>
      </c>
      <c r="B43" s="5"/>
      <c r="C43" s="89" t="s">
        <v>955</v>
      </c>
      <c r="D43" s="5" t="s">
        <v>162</v>
      </c>
      <c r="E43" s="5" t="s">
        <v>286</v>
      </c>
      <c r="H43" s="5" t="s">
        <v>144</v>
      </c>
      <c r="I43" s="5">
        <v>1</v>
      </c>
      <c r="K43" s="5"/>
    </row>
    <row r="44" spans="1:11">
      <c r="A44">
        <v>8</v>
      </c>
      <c r="B44" s="5"/>
      <c r="C44" s="89" t="s">
        <v>956</v>
      </c>
      <c r="D44" s="5" t="s">
        <v>162</v>
      </c>
      <c r="E44" s="5" t="s">
        <v>287</v>
      </c>
      <c r="H44" s="5" t="s">
        <v>153</v>
      </c>
      <c r="I44" s="5">
        <v>1</v>
      </c>
      <c r="K44" s="5"/>
    </row>
    <row r="45" spans="1:11">
      <c r="A45">
        <v>9</v>
      </c>
      <c r="B45" s="5"/>
      <c r="C45" s="5" t="s">
        <v>54</v>
      </c>
      <c r="D45" s="5" t="s">
        <v>162</v>
      </c>
      <c r="E45" s="5" t="s">
        <v>287</v>
      </c>
      <c r="H45" s="5" t="s">
        <v>306</v>
      </c>
      <c r="I45" s="5">
        <v>1</v>
      </c>
      <c r="K45" s="5"/>
    </row>
    <row r="46" spans="1:11">
      <c r="A46">
        <v>10</v>
      </c>
      <c r="B46" s="5"/>
      <c r="C46" s="5" t="s">
        <v>181</v>
      </c>
      <c r="D46" s="5" t="s">
        <v>138</v>
      </c>
      <c r="E46" s="5" t="s">
        <v>285</v>
      </c>
      <c r="H46" s="5" t="s">
        <v>150</v>
      </c>
      <c r="I46" s="5">
        <v>1</v>
      </c>
      <c r="K46" s="5"/>
    </row>
    <row r="47" spans="1:11">
      <c r="A47" s="5"/>
      <c r="B47" s="5"/>
      <c r="C47" s="5" t="s">
        <v>187</v>
      </c>
      <c r="D47" s="5" t="s">
        <v>138</v>
      </c>
      <c r="E47" s="5" t="s">
        <v>285</v>
      </c>
      <c r="H47" s="5" t="s">
        <v>147</v>
      </c>
      <c r="I47" s="5">
        <v>1</v>
      </c>
      <c r="K47" s="5"/>
    </row>
    <row r="48" spans="1:11">
      <c r="A48" s="4" t="s">
        <v>242</v>
      </c>
      <c r="B48" s="5"/>
      <c r="C48" s="5" t="s">
        <v>28</v>
      </c>
      <c r="D48" s="5" t="s">
        <v>142</v>
      </c>
      <c r="E48" s="5" t="s">
        <v>288</v>
      </c>
      <c r="H48" s="5" t="s">
        <v>138</v>
      </c>
      <c r="I48" s="5">
        <v>1</v>
      </c>
      <c r="K48" s="5"/>
    </row>
    <row r="49" spans="1:11">
      <c r="A49" s="5" t="s">
        <v>267</v>
      </c>
      <c r="B49" s="5"/>
      <c r="C49" s="5" t="s">
        <v>31</v>
      </c>
      <c r="D49" s="5" t="s">
        <v>140</v>
      </c>
      <c r="E49" s="5" t="s">
        <v>289</v>
      </c>
      <c r="H49" s="5" t="s">
        <v>154</v>
      </c>
      <c r="I49" s="5">
        <v>1</v>
      </c>
      <c r="K49" s="5"/>
    </row>
    <row r="50" spans="1:11">
      <c r="A50" t="s">
        <v>266</v>
      </c>
      <c r="B50" s="5"/>
      <c r="C50" s="5" t="s">
        <v>21</v>
      </c>
      <c r="D50" s="5" t="s">
        <v>142</v>
      </c>
      <c r="E50" s="5" t="s">
        <v>290</v>
      </c>
      <c r="H50" s="5" t="s">
        <v>156</v>
      </c>
      <c r="I50" s="5">
        <v>1</v>
      </c>
      <c r="K50" s="5"/>
    </row>
    <row r="51" spans="1:11">
      <c r="B51" s="5"/>
      <c r="C51" s="5" t="s">
        <v>55</v>
      </c>
      <c r="D51" s="6" t="s">
        <v>164</v>
      </c>
      <c r="E51" s="5" t="s">
        <v>285</v>
      </c>
      <c r="H51" s="5" t="s">
        <v>157</v>
      </c>
      <c r="I51" s="5">
        <v>1</v>
      </c>
      <c r="K51" s="5"/>
    </row>
    <row r="52" spans="1:11">
      <c r="B52" s="5"/>
      <c r="C52" s="5" t="s">
        <v>304</v>
      </c>
      <c r="D52" s="5" t="s">
        <v>306</v>
      </c>
      <c r="E52" s="5" t="s">
        <v>307</v>
      </c>
      <c r="H52" s="5" t="s">
        <v>165</v>
      </c>
      <c r="I52" s="5">
        <v>1</v>
      </c>
      <c r="K52" s="5"/>
    </row>
    <row r="53" spans="1:11">
      <c r="B53" s="5"/>
      <c r="C53" s="5" t="s">
        <v>227</v>
      </c>
      <c r="D53" s="5" t="s">
        <v>159</v>
      </c>
      <c r="E53" s="5" t="s">
        <v>285</v>
      </c>
      <c r="H53" s="5" t="s">
        <v>151</v>
      </c>
      <c r="I53" s="5">
        <v>1</v>
      </c>
      <c r="K53" s="5"/>
    </row>
    <row r="54" spans="1:11">
      <c r="B54" s="5"/>
      <c r="C54" s="5" t="s">
        <v>40</v>
      </c>
      <c r="D54" s="5" t="s">
        <v>147</v>
      </c>
      <c r="E54" s="5" t="s">
        <v>285</v>
      </c>
      <c r="H54" s="5" t="s">
        <v>146</v>
      </c>
      <c r="I54" s="5">
        <v>1</v>
      </c>
      <c r="K54" s="5"/>
    </row>
    <row r="55" spans="1:11">
      <c r="B55" s="5"/>
      <c r="C55" s="5" t="s">
        <v>57</v>
      </c>
      <c r="D55" s="5" t="s">
        <v>161</v>
      </c>
      <c r="E55" s="5" t="s">
        <v>291</v>
      </c>
      <c r="H55" s="5" t="s">
        <v>143</v>
      </c>
      <c r="I55" s="5">
        <v>1</v>
      </c>
      <c r="K55" s="5"/>
    </row>
    <row r="56" spans="1:11">
      <c r="B56" s="5"/>
      <c r="C56" s="89" t="s">
        <v>957</v>
      </c>
      <c r="D56" s="5" t="s">
        <v>163</v>
      </c>
      <c r="E56" s="5" t="s">
        <v>292</v>
      </c>
      <c r="H56" s="5" t="s">
        <v>137</v>
      </c>
      <c r="I56" s="5">
        <v>1</v>
      </c>
      <c r="K56" s="5"/>
    </row>
    <row r="57" spans="1:11">
      <c r="B57" s="5"/>
      <c r="C57" s="89" t="s">
        <v>958</v>
      </c>
      <c r="D57" s="5" t="s">
        <v>161</v>
      </c>
      <c r="E57" s="5" t="s">
        <v>293</v>
      </c>
      <c r="H57" s="5" t="s">
        <v>145</v>
      </c>
      <c r="I57" s="5">
        <v>1</v>
      </c>
      <c r="K57" s="5"/>
    </row>
    <row r="58" spans="1:11">
      <c r="B58" s="5"/>
      <c r="C58" s="89" t="s">
        <v>959</v>
      </c>
      <c r="D58" s="5" t="s">
        <v>154</v>
      </c>
      <c r="E58" s="5" t="s">
        <v>285</v>
      </c>
      <c r="H58" s="5" t="s">
        <v>139</v>
      </c>
      <c r="I58" s="5">
        <v>1</v>
      </c>
      <c r="K58" s="5"/>
    </row>
    <row r="59" spans="1:11">
      <c r="B59" s="5"/>
      <c r="C59" s="5" t="s">
        <v>261</v>
      </c>
      <c r="D59" s="5" t="s">
        <v>262</v>
      </c>
      <c r="E59" s="5" t="s">
        <v>285</v>
      </c>
      <c r="H59" s="5" t="s">
        <v>158</v>
      </c>
      <c r="I59" s="5">
        <v>1</v>
      </c>
      <c r="K59" s="5"/>
    </row>
    <row r="60" spans="1:11">
      <c r="B60" s="5"/>
      <c r="C60" s="5" t="s">
        <v>58</v>
      </c>
      <c r="D60" s="5" t="s">
        <v>161</v>
      </c>
      <c r="E60" s="5" t="s">
        <v>285</v>
      </c>
      <c r="H60" s="5" t="s">
        <v>162</v>
      </c>
      <c r="I60" s="5">
        <v>1</v>
      </c>
      <c r="K60" s="5"/>
    </row>
    <row r="61" spans="1:11">
      <c r="B61" s="5"/>
      <c r="C61" s="89" t="s">
        <v>960</v>
      </c>
      <c r="D61" s="5" t="s">
        <v>151</v>
      </c>
      <c r="E61" s="5"/>
      <c r="H61" s="5" t="s">
        <v>159</v>
      </c>
      <c r="I61" s="5">
        <v>1</v>
      </c>
      <c r="K61" s="5"/>
    </row>
    <row r="62" spans="1:11">
      <c r="B62" s="5"/>
      <c r="C62" s="5" t="s">
        <v>59</v>
      </c>
      <c r="D62" s="5" t="s">
        <v>151</v>
      </c>
      <c r="E62" s="5" t="s">
        <v>285</v>
      </c>
      <c r="H62" s="5" t="s">
        <v>192</v>
      </c>
      <c r="I62" s="5">
        <v>1</v>
      </c>
      <c r="K62" s="5"/>
    </row>
    <row r="63" spans="1:11">
      <c r="B63" s="5"/>
      <c r="C63" s="5" t="s">
        <v>274</v>
      </c>
      <c r="D63" s="5" t="s">
        <v>151</v>
      </c>
      <c r="E63" s="5" t="s">
        <v>285</v>
      </c>
      <c r="H63" s="5" t="s">
        <v>163</v>
      </c>
      <c r="I63" s="5">
        <v>1</v>
      </c>
      <c r="K63" s="5"/>
    </row>
    <row r="64" spans="1:11">
      <c r="B64" s="5"/>
      <c r="C64" s="90" t="s">
        <v>942</v>
      </c>
      <c r="D64" s="5" t="s">
        <v>192</v>
      </c>
      <c r="E64" s="5" t="s">
        <v>290</v>
      </c>
      <c r="H64" s="5" t="s">
        <v>167</v>
      </c>
      <c r="I64" s="5">
        <v>1</v>
      </c>
      <c r="K64" s="5"/>
    </row>
    <row r="65" spans="2:11">
      <c r="B65" s="5"/>
      <c r="C65" s="90" t="s">
        <v>943</v>
      </c>
      <c r="D65" s="5" t="s">
        <v>192</v>
      </c>
      <c r="E65" s="5" t="s">
        <v>290</v>
      </c>
      <c r="H65" s="41"/>
      <c r="I65" s="5"/>
      <c r="K65" s="5"/>
    </row>
    <row r="66" spans="2:11">
      <c r="B66" s="5"/>
      <c r="C66" s="90" t="s">
        <v>944</v>
      </c>
      <c r="D66" s="5" t="s">
        <v>192</v>
      </c>
      <c r="E66" s="5" t="s">
        <v>290</v>
      </c>
      <c r="H66" s="41"/>
      <c r="I66" s="5">
        <f>SUM(I31:I65)</f>
        <v>34</v>
      </c>
      <c r="K66" s="5"/>
    </row>
    <row r="67" spans="2:11">
      <c r="B67" s="5"/>
      <c r="C67" s="90" t="s">
        <v>945</v>
      </c>
      <c r="D67" s="5" t="s">
        <v>192</v>
      </c>
      <c r="E67" s="5" t="s">
        <v>290</v>
      </c>
      <c r="H67" s="41"/>
      <c r="I67" s="5"/>
      <c r="K67" s="5"/>
    </row>
    <row r="68" spans="2:11">
      <c r="B68" s="5"/>
      <c r="C68" s="5" t="s">
        <v>13</v>
      </c>
      <c r="D68" s="5" t="s">
        <v>192</v>
      </c>
      <c r="E68" s="5" t="s">
        <v>293</v>
      </c>
      <c r="H68" s="41"/>
      <c r="I68" s="5"/>
      <c r="K68" s="5"/>
    </row>
    <row r="69" spans="2:11">
      <c r="B69" s="5"/>
      <c r="C69" s="90" t="s">
        <v>946</v>
      </c>
      <c r="D69" s="5" t="s">
        <v>192</v>
      </c>
      <c r="E69" s="5" t="s">
        <v>290</v>
      </c>
      <c r="H69" s="41"/>
      <c r="I69" s="5"/>
      <c r="K69" s="5"/>
    </row>
    <row r="70" spans="2:11">
      <c r="B70" s="5"/>
      <c r="C70" s="90" t="s">
        <v>947</v>
      </c>
      <c r="D70" s="5" t="s">
        <v>192</v>
      </c>
      <c r="E70" s="5" t="s">
        <v>290</v>
      </c>
      <c r="H70" s="41"/>
      <c r="I70" s="5"/>
      <c r="K70" s="5"/>
    </row>
    <row r="71" spans="2:11">
      <c r="B71" s="5"/>
      <c r="C71" s="89" t="s">
        <v>961</v>
      </c>
      <c r="D71" s="5" t="s">
        <v>167</v>
      </c>
      <c r="E71" s="5" t="s">
        <v>294</v>
      </c>
      <c r="H71" s="41"/>
      <c r="I71" s="5"/>
      <c r="K71" s="5"/>
    </row>
    <row r="72" spans="2:11">
      <c r="B72" s="5"/>
      <c r="C72" s="89" t="s">
        <v>962</v>
      </c>
      <c r="D72" s="5" t="s">
        <v>167</v>
      </c>
      <c r="E72" s="5" t="s">
        <v>285</v>
      </c>
      <c r="H72" s="41"/>
      <c r="I72" s="5"/>
      <c r="K72" s="5"/>
    </row>
    <row r="73" spans="2:11">
      <c r="B73" s="5"/>
      <c r="C73" s="89" t="s">
        <v>963</v>
      </c>
      <c r="D73" s="5" t="s">
        <v>167</v>
      </c>
      <c r="E73" s="5" t="s">
        <v>285</v>
      </c>
      <c r="H73" s="41"/>
      <c r="I73" s="5"/>
      <c r="K73" s="5"/>
    </row>
    <row r="74" spans="2:11">
      <c r="B74" s="5"/>
      <c r="C74" s="89" t="s">
        <v>964</v>
      </c>
      <c r="D74" s="5" t="s">
        <v>167</v>
      </c>
      <c r="E74" s="5" t="s">
        <v>285</v>
      </c>
      <c r="H74" s="41"/>
      <c r="I74" s="5"/>
      <c r="K74" s="5"/>
    </row>
    <row r="75" spans="2:11">
      <c r="B75" s="5"/>
      <c r="C75" s="89" t="s">
        <v>965</v>
      </c>
      <c r="D75" s="5" t="s">
        <v>167</v>
      </c>
      <c r="E75" s="5" t="s">
        <v>285</v>
      </c>
      <c r="H75" s="41"/>
      <c r="I75" s="5"/>
      <c r="K75" s="5"/>
    </row>
    <row r="76" spans="2:11">
      <c r="B76" s="5"/>
      <c r="C76" s="89" t="s">
        <v>949</v>
      </c>
      <c r="D76" s="5" t="s">
        <v>167</v>
      </c>
      <c r="E76" s="5" t="s">
        <v>285</v>
      </c>
      <c r="H76" s="41"/>
      <c r="I76" s="5"/>
      <c r="K76" s="5"/>
    </row>
    <row r="77" spans="2:11">
      <c r="B77" s="5"/>
      <c r="C77" s="89" t="s">
        <v>966</v>
      </c>
      <c r="D77" s="5" t="s">
        <v>167</v>
      </c>
      <c r="E77" s="5" t="s">
        <v>285</v>
      </c>
      <c r="H77" s="41"/>
      <c r="I77" s="5"/>
      <c r="K77" s="5"/>
    </row>
    <row r="78" spans="2:11">
      <c r="B78" s="5"/>
      <c r="C78" s="89" t="s">
        <v>967</v>
      </c>
      <c r="D78" s="5" t="s">
        <v>167</v>
      </c>
      <c r="E78" s="5" t="s">
        <v>285</v>
      </c>
      <c r="H78" s="41"/>
      <c r="I78" s="5"/>
      <c r="K78" s="5"/>
    </row>
    <row r="79" spans="2:11">
      <c r="B79" s="5"/>
      <c r="C79" s="89" t="s">
        <v>968</v>
      </c>
      <c r="D79" s="5" t="s">
        <v>167</v>
      </c>
      <c r="E79" s="5" t="s">
        <v>285</v>
      </c>
      <c r="H79" s="41"/>
      <c r="I79" s="5"/>
      <c r="K79" s="5"/>
    </row>
    <row r="80" spans="2:11">
      <c r="B80" s="5"/>
      <c r="C80" s="89" t="s">
        <v>969</v>
      </c>
      <c r="D80" s="5" t="s">
        <v>167</v>
      </c>
      <c r="E80" s="5" t="s">
        <v>285</v>
      </c>
      <c r="H80" s="41"/>
      <c r="I80" s="5"/>
      <c r="K80" s="5"/>
    </row>
    <row r="81" spans="2:12">
      <c r="B81" s="5"/>
      <c r="C81" s="5" t="s">
        <v>41</v>
      </c>
      <c r="D81" s="5" t="s">
        <v>149</v>
      </c>
      <c r="E81" s="5" t="s">
        <v>285</v>
      </c>
      <c r="H81" s="41"/>
      <c r="I81" s="5"/>
      <c r="K81" s="5"/>
    </row>
    <row r="82" spans="2:12">
      <c r="B82" s="5"/>
      <c r="C82" s="5" t="s">
        <v>303</v>
      </c>
      <c r="D82" s="5" t="s">
        <v>144</v>
      </c>
      <c r="E82" s="5" t="s">
        <v>285</v>
      </c>
      <c r="H82" s="41"/>
      <c r="I82" s="5"/>
      <c r="K82" s="5"/>
    </row>
    <row r="83" spans="2:12">
      <c r="B83" s="5"/>
      <c r="C83" s="5" t="s">
        <v>23</v>
      </c>
      <c r="D83" s="5" t="s">
        <v>144</v>
      </c>
      <c r="E83" s="5" t="s">
        <v>285</v>
      </c>
      <c r="H83" s="41"/>
      <c r="I83" s="5"/>
      <c r="K83" s="5"/>
    </row>
    <row r="84" spans="2:12">
      <c r="B84" s="5"/>
      <c r="C84" s="5" t="s">
        <v>43</v>
      </c>
      <c r="D84" s="5" t="s">
        <v>152</v>
      </c>
      <c r="E84" s="5" t="s">
        <v>295</v>
      </c>
      <c r="H84" s="41"/>
      <c r="I84" s="5"/>
      <c r="K84" s="5"/>
    </row>
    <row r="85" spans="2:12">
      <c r="B85" s="5"/>
      <c r="C85" s="5" t="s">
        <v>50</v>
      </c>
      <c r="D85" s="5" t="s">
        <v>153</v>
      </c>
      <c r="E85" s="5" t="s">
        <v>293</v>
      </c>
      <c r="H85" s="41"/>
      <c r="I85" s="5"/>
      <c r="K85" s="5"/>
    </row>
    <row r="86" spans="2:12">
      <c r="B86" s="5"/>
      <c r="C86" s="5" t="s">
        <v>30</v>
      </c>
      <c r="D86" s="5" t="s">
        <v>158</v>
      </c>
      <c r="E86" s="5" t="s">
        <v>285</v>
      </c>
      <c r="H86" s="41"/>
      <c r="I86" s="5"/>
      <c r="K86" s="5"/>
    </row>
    <row r="87" spans="2:12">
      <c r="B87" s="5"/>
      <c r="C87" s="5" t="s">
        <v>49</v>
      </c>
      <c r="D87" s="5" t="s">
        <v>158</v>
      </c>
      <c r="E87" s="5" t="s">
        <v>285</v>
      </c>
      <c r="H87" s="41"/>
      <c r="I87" s="5"/>
      <c r="K87" s="5"/>
      <c r="L87" s="5"/>
    </row>
    <row r="88" spans="2:12">
      <c r="B88" s="5"/>
      <c r="C88" s="89" t="s">
        <v>970</v>
      </c>
      <c r="D88" s="5" t="s">
        <v>158</v>
      </c>
      <c r="E88" s="5" t="s">
        <v>285</v>
      </c>
      <c r="H88" s="41"/>
      <c r="I88" s="5"/>
      <c r="K88" s="5"/>
    </row>
    <row r="89" spans="2:12">
      <c r="B89" s="5"/>
      <c r="C89" s="5" t="s">
        <v>26</v>
      </c>
      <c r="D89" s="5" t="s">
        <v>158</v>
      </c>
      <c r="E89" s="5" t="s">
        <v>285</v>
      </c>
      <c r="H89" s="41"/>
      <c r="I89" s="5"/>
      <c r="K89" s="5"/>
    </row>
    <row r="90" spans="2:12">
      <c r="B90" s="5"/>
      <c r="C90" s="5" t="s">
        <v>44</v>
      </c>
      <c r="D90" s="5" t="s">
        <v>160</v>
      </c>
      <c r="E90" s="5" t="s">
        <v>290</v>
      </c>
      <c r="H90" s="41"/>
      <c r="I90" s="5"/>
      <c r="K90" s="5"/>
    </row>
    <row r="91" spans="2:12">
      <c r="B91" s="5"/>
      <c r="C91" s="5" t="s">
        <v>52</v>
      </c>
      <c r="D91" s="5" t="s">
        <v>160</v>
      </c>
      <c r="E91" s="5" t="s">
        <v>285</v>
      </c>
      <c r="H91" s="41"/>
      <c r="I91" s="5"/>
      <c r="K91" s="5"/>
    </row>
    <row r="92" spans="2:12">
      <c r="B92" s="5"/>
      <c r="C92" s="89" t="s">
        <v>971</v>
      </c>
      <c r="D92" s="5" t="s">
        <v>155</v>
      </c>
      <c r="E92" s="5" t="s">
        <v>290</v>
      </c>
      <c r="H92" s="41"/>
      <c r="I92" s="5"/>
      <c r="K92" s="5"/>
    </row>
    <row r="93" spans="2:12">
      <c r="B93" s="5"/>
      <c r="C93" s="5" t="s">
        <v>62</v>
      </c>
      <c r="D93" s="5" t="s">
        <v>155</v>
      </c>
      <c r="E93" s="5" t="s">
        <v>296</v>
      </c>
      <c r="H93" s="41"/>
      <c r="I93" s="5"/>
      <c r="K93" s="5"/>
    </row>
    <row r="94" spans="2:12">
      <c r="B94" s="5"/>
      <c r="C94" s="89" t="s">
        <v>973</v>
      </c>
      <c r="D94" s="5" t="s">
        <v>155</v>
      </c>
      <c r="E94" s="5" t="s">
        <v>285</v>
      </c>
      <c r="H94" s="41"/>
      <c r="I94" s="5"/>
      <c r="K94" s="5"/>
    </row>
    <row r="95" spans="2:12">
      <c r="B95" s="5"/>
      <c r="C95" s="5" t="s">
        <v>317</v>
      </c>
      <c r="D95" s="5" t="s">
        <v>155</v>
      </c>
      <c r="E95" s="5" t="s">
        <v>290</v>
      </c>
      <c r="H95" s="41"/>
      <c r="I95" s="5"/>
      <c r="K95" s="5"/>
    </row>
    <row r="96" spans="2:12">
      <c r="B96" s="5"/>
      <c r="C96" s="89" t="s">
        <v>972</v>
      </c>
      <c r="D96" s="5" t="s">
        <v>148</v>
      </c>
      <c r="E96" s="5" t="s">
        <v>290</v>
      </c>
      <c r="H96" s="41"/>
      <c r="I96" s="5"/>
      <c r="K96" s="5"/>
    </row>
    <row r="97" spans="2:11">
      <c r="B97" s="5"/>
      <c r="C97" s="5" t="s">
        <v>63</v>
      </c>
      <c r="D97" s="5" t="s">
        <v>192</v>
      </c>
      <c r="E97" s="5" t="s">
        <v>293</v>
      </c>
      <c r="H97" s="41"/>
      <c r="I97" s="5"/>
      <c r="K97" s="5"/>
    </row>
    <row r="98" spans="2:11">
      <c r="B98" s="5"/>
      <c r="C98" s="5" t="s">
        <v>64</v>
      </c>
      <c r="D98" s="5" t="s">
        <v>146</v>
      </c>
      <c r="E98" s="5" t="s">
        <v>285</v>
      </c>
      <c r="H98" s="41"/>
      <c r="I98" s="5"/>
      <c r="K98" s="5"/>
    </row>
    <row r="99" spans="2:11">
      <c r="B99" s="5"/>
      <c r="C99" s="5" t="s">
        <v>11</v>
      </c>
      <c r="D99" s="5" t="s">
        <v>137</v>
      </c>
      <c r="E99" s="5" t="s">
        <v>297</v>
      </c>
      <c r="H99" s="41"/>
      <c r="I99" s="5"/>
      <c r="K99" s="5"/>
    </row>
    <row r="100" spans="2:11">
      <c r="B100" s="5"/>
      <c r="C100" s="5" t="s">
        <v>22</v>
      </c>
      <c r="D100" s="5" t="s">
        <v>145</v>
      </c>
      <c r="E100" s="5" t="s">
        <v>290</v>
      </c>
      <c r="H100" s="41"/>
      <c r="I100" s="5"/>
      <c r="K100" s="5"/>
    </row>
    <row r="101" spans="2:11">
      <c r="B101" s="5"/>
      <c r="C101" s="5" t="s">
        <v>45</v>
      </c>
      <c r="D101" s="5" t="s">
        <v>145</v>
      </c>
      <c r="E101" s="5" t="s">
        <v>293</v>
      </c>
      <c r="H101" s="41"/>
      <c r="I101" s="5"/>
      <c r="K101" s="5"/>
    </row>
    <row r="102" spans="2:11">
      <c r="B102" s="5"/>
      <c r="C102" s="5" t="s">
        <v>20</v>
      </c>
      <c r="D102" s="5" t="s">
        <v>145</v>
      </c>
      <c r="E102" s="5" t="s">
        <v>290</v>
      </c>
      <c r="H102" s="41"/>
      <c r="I102" s="5"/>
      <c r="K102" s="5"/>
    </row>
    <row r="103" spans="2:11">
      <c r="B103" s="5"/>
      <c r="C103" s="5" t="s">
        <v>312</v>
      </c>
      <c r="D103" s="5" t="s">
        <v>313</v>
      </c>
      <c r="E103" s="5"/>
      <c r="H103" s="41"/>
      <c r="I103" s="5"/>
      <c r="J103" s="5"/>
    </row>
    <row r="104" spans="2:11">
      <c r="B104" s="5"/>
      <c r="C104" s="5" t="s">
        <v>14</v>
      </c>
      <c r="D104" s="5" t="s">
        <v>139</v>
      </c>
      <c r="E104" s="5" t="s">
        <v>290</v>
      </c>
      <c r="H104" s="41"/>
      <c r="I104" s="5"/>
      <c r="K104" s="5"/>
    </row>
    <row r="105" spans="2:11">
      <c r="B105" s="5"/>
      <c r="C105" s="5" t="s">
        <v>46</v>
      </c>
      <c r="D105" s="5" t="s">
        <v>162</v>
      </c>
      <c r="E105" s="5" t="s">
        <v>285</v>
      </c>
      <c r="H105" s="41"/>
      <c r="I105" s="5"/>
    </row>
    <row r="106" spans="2:11">
      <c r="B106" s="5"/>
      <c r="C106" s="5" t="s">
        <v>37</v>
      </c>
      <c r="D106" s="5" t="s">
        <v>150</v>
      </c>
      <c r="E106" s="5" t="s">
        <v>285</v>
      </c>
      <c r="H106" s="41"/>
      <c r="I106" s="5"/>
    </row>
    <row r="107" spans="2:11">
      <c r="B107" s="5"/>
      <c r="C107" s="5" t="s">
        <v>51</v>
      </c>
      <c r="D107" s="5" t="s">
        <v>159</v>
      </c>
      <c r="E107" s="5" t="s">
        <v>285</v>
      </c>
      <c r="H107" s="41"/>
      <c r="I107" s="5"/>
    </row>
    <row r="108" spans="2:11">
      <c r="B108" s="5"/>
      <c r="C108" s="5" t="s">
        <v>39</v>
      </c>
      <c r="D108" s="5" t="s">
        <v>140</v>
      </c>
      <c r="E108" s="5" t="s">
        <v>285</v>
      </c>
      <c r="H108" s="41"/>
      <c r="I108" s="5"/>
    </row>
    <row r="109" spans="2:11">
      <c r="B109" s="5"/>
      <c r="C109" s="5" t="s">
        <v>65</v>
      </c>
      <c r="D109" s="5" t="s">
        <v>140</v>
      </c>
      <c r="E109" s="5" t="s">
        <v>285</v>
      </c>
      <c r="H109" s="41"/>
      <c r="I109" s="5"/>
    </row>
    <row r="110" spans="2:11">
      <c r="B110" s="5"/>
      <c r="C110" s="5" t="s">
        <v>66</v>
      </c>
      <c r="D110" s="5" t="s">
        <v>142</v>
      </c>
      <c r="E110" s="5" t="s">
        <v>298</v>
      </c>
      <c r="H110" s="41"/>
      <c r="I110" s="5"/>
    </row>
    <row r="111" spans="2:11">
      <c r="B111" s="5"/>
      <c r="C111" s="5" t="s">
        <v>179</v>
      </c>
      <c r="D111" s="5" t="s">
        <v>144</v>
      </c>
      <c r="E111" s="5" t="s">
        <v>285</v>
      </c>
      <c r="H111" s="41"/>
      <c r="I111" s="5"/>
    </row>
    <row r="112" spans="2:11">
      <c r="B112" s="5"/>
      <c r="C112" s="5" t="s">
        <v>42</v>
      </c>
      <c r="D112" s="5" t="s">
        <v>142</v>
      </c>
      <c r="E112" s="5" t="s">
        <v>285</v>
      </c>
      <c r="H112" s="41"/>
      <c r="I112" s="5"/>
    </row>
    <row r="113" spans="2:9">
      <c r="B113" s="5"/>
      <c r="C113" s="5" t="s">
        <v>67</v>
      </c>
      <c r="D113" s="5" t="s">
        <v>141</v>
      </c>
      <c r="E113" s="5" t="s">
        <v>299</v>
      </c>
      <c r="H113" s="41"/>
      <c r="I113" s="5"/>
    </row>
    <row r="114" spans="2:9">
      <c r="B114" s="5"/>
      <c r="C114" s="5" t="s">
        <v>24</v>
      </c>
      <c r="D114" s="5" t="s">
        <v>142</v>
      </c>
      <c r="E114" s="5" t="s">
        <v>300</v>
      </c>
      <c r="H114" s="41"/>
      <c r="I114" s="5"/>
    </row>
    <row r="115" spans="2:9">
      <c r="B115" s="5"/>
      <c r="C115" s="5" t="s">
        <v>68</v>
      </c>
      <c r="D115" s="5" t="s">
        <v>156</v>
      </c>
      <c r="E115" s="5" t="s">
        <v>285</v>
      </c>
      <c r="H115" s="41"/>
      <c r="I115" s="5"/>
    </row>
    <row r="116" spans="2:9">
      <c r="B116" s="5"/>
      <c r="C116" s="5" t="s">
        <v>273</v>
      </c>
      <c r="D116" s="5" t="s">
        <v>138</v>
      </c>
      <c r="E116" s="5" t="s">
        <v>285</v>
      </c>
      <c r="H116" s="41"/>
      <c r="I116" s="5"/>
    </row>
    <row r="117" spans="2:9">
      <c r="B117" s="5"/>
      <c r="C117" s="5" t="s">
        <v>12</v>
      </c>
      <c r="D117" s="5" t="s">
        <v>192</v>
      </c>
      <c r="E117" s="5" t="s">
        <v>285</v>
      </c>
      <c r="H117" s="41"/>
      <c r="I117" s="5"/>
    </row>
    <row r="118" spans="2:9">
      <c r="B118" s="5"/>
      <c r="C118" s="5" t="s">
        <v>69</v>
      </c>
      <c r="D118" s="5" t="s">
        <v>192</v>
      </c>
      <c r="E118" s="5" t="s">
        <v>293</v>
      </c>
      <c r="H118" s="41"/>
      <c r="I118" s="5"/>
    </row>
    <row r="119" spans="2:9">
      <c r="B119" s="5"/>
      <c r="C119" s="5" t="s">
        <v>34</v>
      </c>
      <c r="D119" s="5" t="s">
        <v>192</v>
      </c>
      <c r="E119" s="5" t="s">
        <v>293</v>
      </c>
      <c r="H119" s="41"/>
      <c r="I119" s="5"/>
    </row>
    <row r="120" spans="2:9">
      <c r="B120" s="5"/>
      <c r="C120" s="5" t="s">
        <v>15</v>
      </c>
      <c r="D120" s="5" t="s">
        <v>156</v>
      </c>
      <c r="E120" s="5" t="s">
        <v>293</v>
      </c>
      <c r="H120" s="41"/>
      <c r="I120" s="5"/>
    </row>
    <row r="121" spans="2:9">
      <c r="B121" s="5"/>
      <c r="C121" s="5" t="s">
        <v>36</v>
      </c>
      <c r="D121" s="5" t="s">
        <v>149</v>
      </c>
      <c r="E121" s="5" t="s">
        <v>296</v>
      </c>
      <c r="H121" s="41"/>
      <c r="I121" s="5"/>
    </row>
    <row r="122" spans="2:9" s="5" customFormat="1">
      <c r="C122" s="5" t="s">
        <v>27</v>
      </c>
      <c r="D122" s="5" t="s">
        <v>158</v>
      </c>
      <c r="E122" s="5" t="s">
        <v>285</v>
      </c>
      <c r="H122" s="43"/>
    </row>
    <row r="123" spans="2:9" s="5" customFormat="1">
      <c r="C123" s="5" t="s">
        <v>189</v>
      </c>
      <c r="D123" s="5" t="s">
        <v>191</v>
      </c>
      <c r="E123" s="5" t="s">
        <v>285</v>
      </c>
      <c r="H123" s="43"/>
    </row>
    <row r="124" spans="2:9" s="5" customFormat="1">
      <c r="C124" s="5" t="s">
        <v>329</v>
      </c>
      <c r="D124" s="5" t="s">
        <v>330</v>
      </c>
      <c r="H124" s="43"/>
    </row>
    <row r="125" spans="2:9" s="5" customFormat="1">
      <c r="H125" s="43"/>
    </row>
    <row r="126" spans="2:9" s="5" customFormat="1">
      <c r="H126" s="43"/>
    </row>
    <row r="127" spans="2:9">
      <c r="C127" s="5"/>
      <c r="D127" s="5"/>
      <c r="E127" s="5"/>
      <c r="H127" s="41"/>
      <c r="I127" s="5"/>
    </row>
    <row r="128" spans="2:9">
      <c r="C128" t="s">
        <v>221</v>
      </c>
      <c r="D128" s="5"/>
      <c r="E128" s="5" t="s">
        <v>807</v>
      </c>
      <c r="H128" s="41"/>
      <c r="I128" s="5"/>
    </row>
    <row r="129" spans="2:9">
      <c r="B129">
        <v>1</v>
      </c>
      <c r="C129" s="5" t="s">
        <v>247</v>
      </c>
      <c r="D129" s="5"/>
      <c r="E129" s="68" t="s">
        <v>1079</v>
      </c>
      <c r="G129" s="5"/>
      <c r="I129" s="5"/>
    </row>
    <row r="130" spans="2:9">
      <c r="B130">
        <v>1</v>
      </c>
      <c r="C130" s="5" t="s">
        <v>129</v>
      </c>
      <c r="D130" s="5"/>
      <c r="E130" s="68" t="s">
        <v>808</v>
      </c>
      <c r="F130" s="68" t="s">
        <v>809</v>
      </c>
      <c r="G130" s="68" t="s">
        <v>810</v>
      </c>
      <c r="H130" s="68" t="s">
        <v>811</v>
      </c>
      <c r="I130" s="68" t="s">
        <v>812</v>
      </c>
    </row>
    <row r="131" spans="2:9">
      <c r="B131">
        <v>1</v>
      </c>
      <c r="C131" s="5" t="s">
        <v>336</v>
      </c>
      <c r="D131" s="5"/>
      <c r="E131" s="5"/>
      <c r="H131" s="41"/>
      <c r="I131" s="5"/>
    </row>
    <row r="132" spans="2:9">
      <c r="B132">
        <v>1</v>
      </c>
      <c r="C132" s="5" t="s">
        <v>278</v>
      </c>
      <c r="D132" s="5"/>
      <c r="I132" s="5"/>
    </row>
    <row r="133" spans="2:9">
      <c r="B133" s="5">
        <v>1</v>
      </c>
      <c r="C133" s="5" t="s">
        <v>234</v>
      </c>
      <c r="D133" s="5"/>
      <c r="I133" s="5"/>
    </row>
    <row r="134" spans="2:9">
      <c r="B134" s="5">
        <v>1</v>
      </c>
      <c r="C134" s="5" t="s">
        <v>122</v>
      </c>
      <c r="D134" s="5"/>
      <c r="E134" s="5" t="s">
        <v>814</v>
      </c>
      <c r="F134" s="5" t="s">
        <v>815</v>
      </c>
      <c r="H134" s="41"/>
      <c r="I134" s="5"/>
    </row>
    <row r="135" spans="2:9">
      <c r="B135" s="5">
        <v>1</v>
      </c>
      <c r="C135" s="5" t="s">
        <v>332</v>
      </c>
      <c r="D135" s="5"/>
      <c r="E135" s="5"/>
      <c r="H135" s="41"/>
      <c r="I135" s="5"/>
    </row>
    <row r="136" spans="2:9">
      <c r="B136" s="5">
        <v>1</v>
      </c>
      <c r="C136" s="5" t="s">
        <v>245</v>
      </c>
      <c r="D136" s="5"/>
      <c r="E136" s="5"/>
      <c r="H136" s="41"/>
      <c r="I136" s="5"/>
    </row>
    <row r="137" spans="2:9">
      <c r="B137" s="5">
        <v>1</v>
      </c>
      <c r="C137" s="5" t="s">
        <v>326</v>
      </c>
      <c r="D137" s="5"/>
      <c r="E137" s="5" t="s">
        <v>816</v>
      </c>
      <c r="H137" s="41"/>
      <c r="I137" s="5"/>
    </row>
    <row r="138" spans="2:9">
      <c r="B138" s="5">
        <v>1</v>
      </c>
      <c r="C138" s="5" t="s">
        <v>359</v>
      </c>
      <c r="D138" s="5"/>
      <c r="E138" s="5"/>
      <c r="H138" s="41"/>
      <c r="I138" s="5"/>
    </row>
    <row r="139" spans="2:9">
      <c r="B139" s="5">
        <v>1</v>
      </c>
      <c r="C139" s="5" t="s">
        <v>130</v>
      </c>
      <c r="D139" s="5"/>
      <c r="E139" s="5"/>
      <c r="H139" s="41"/>
      <c r="I139" s="5"/>
    </row>
    <row r="140" spans="2:9">
      <c r="B140" s="5">
        <v>1</v>
      </c>
      <c r="C140" s="5" t="s">
        <v>116</v>
      </c>
      <c r="D140" s="5"/>
      <c r="E140" s="5"/>
      <c r="H140" s="41"/>
      <c r="I140" s="5"/>
    </row>
    <row r="141" spans="2:9">
      <c r="B141" s="5">
        <v>1</v>
      </c>
      <c r="C141" s="5" t="s">
        <v>319</v>
      </c>
      <c r="D141" s="5"/>
      <c r="E141" s="5"/>
      <c r="H141" s="41"/>
      <c r="I141" s="5"/>
    </row>
    <row r="142" spans="2:9">
      <c r="B142" s="5">
        <v>1</v>
      </c>
      <c r="C142" s="5" t="s">
        <v>91</v>
      </c>
      <c r="D142" s="5"/>
      <c r="E142" s="68" t="s">
        <v>813</v>
      </c>
      <c r="F142" s="68" t="s">
        <v>1082</v>
      </c>
      <c r="G142" s="68" t="s">
        <v>1096</v>
      </c>
      <c r="H142" s="41"/>
      <c r="I142" s="5"/>
    </row>
    <row r="143" spans="2:9">
      <c r="B143" s="5">
        <v>1</v>
      </c>
      <c r="C143" s="5" t="s">
        <v>256</v>
      </c>
      <c r="D143" s="5"/>
      <c r="E143" s="5"/>
      <c r="H143" s="41"/>
      <c r="I143" s="5"/>
    </row>
    <row r="144" spans="2:9">
      <c r="B144" s="5">
        <v>1</v>
      </c>
      <c r="C144" s="5" t="s">
        <v>281</v>
      </c>
      <c r="D144" s="5"/>
      <c r="E144" s="5"/>
      <c r="H144" s="41"/>
      <c r="I144" s="5"/>
    </row>
    <row r="145" spans="2:9">
      <c r="B145" s="5">
        <v>1</v>
      </c>
      <c r="C145" s="5" t="s">
        <v>97</v>
      </c>
      <c r="D145" s="5"/>
      <c r="E145" s="5"/>
      <c r="H145" s="41"/>
      <c r="I145" s="5"/>
    </row>
    <row r="146" spans="2:9">
      <c r="B146">
        <v>1</v>
      </c>
      <c r="C146" s="5" t="s">
        <v>196</v>
      </c>
      <c r="D146" s="5"/>
      <c r="E146" s="5"/>
      <c r="H146" s="41"/>
      <c r="I146" s="5"/>
    </row>
    <row r="147" spans="2:9">
      <c r="B147" s="5">
        <v>1</v>
      </c>
      <c r="C147" s="5" t="s">
        <v>363</v>
      </c>
      <c r="D147" s="5"/>
      <c r="E147" s="5"/>
      <c r="H147" s="41"/>
      <c r="I147" s="5"/>
    </row>
    <row r="148" spans="2:9">
      <c r="B148" s="5">
        <v>1</v>
      </c>
      <c r="C148" s="5" t="s">
        <v>93</v>
      </c>
      <c r="D148" s="5"/>
      <c r="E148" s="68" t="s">
        <v>818</v>
      </c>
      <c r="H148" s="41"/>
      <c r="I148" s="5"/>
    </row>
    <row r="149" spans="2:9">
      <c r="B149" s="5">
        <v>1</v>
      </c>
      <c r="C149" s="5" t="s">
        <v>325</v>
      </c>
      <c r="D149" s="5"/>
      <c r="E149" s="5"/>
      <c r="H149" s="41"/>
      <c r="I149" s="5"/>
    </row>
    <row r="150" spans="2:9">
      <c r="B150" s="5">
        <v>1</v>
      </c>
      <c r="C150" s="5" t="s">
        <v>270</v>
      </c>
      <c r="D150" s="5"/>
      <c r="E150" s="5"/>
      <c r="H150" s="41"/>
      <c r="I150" s="5"/>
    </row>
    <row r="151" spans="2:9">
      <c r="B151" s="5">
        <v>1</v>
      </c>
      <c r="C151" s="5" t="s">
        <v>252</v>
      </c>
      <c r="D151" s="5"/>
      <c r="E151" s="5"/>
      <c r="H151" s="41"/>
      <c r="I151" s="5"/>
    </row>
    <row r="152" spans="2:9">
      <c r="B152">
        <v>1</v>
      </c>
      <c r="C152" s="5" t="s">
        <v>310</v>
      </c>
      <c r="D152" s="5"/>
      <c r="E152" s="5"/>
      <c r="H152" s="41"/>
      <c r="I152" s="5"/>
    </row>
    <row r="153" spans="2:9">
      <c r="B153" s="5">
        <v>1</v>
      </c>
      <c r="C153" s="5" t="s">
        <v>86</v>
      </c>
      <c r="D153" s="5"/>
      <c r="E153" s="5" t="s">
        <v>819</v>
      </c>
      <c r="H153" s="41"/>
      <c r="I153" s="5"/>
    </row>
    <row r="154" spans="2:9">
      <c r="B154" s="5">
        <v>1</v>
      </c>
      <c r="C154" s="5" t="s">
        <v>355</v>
      </c>
      <c r="E154" s="5" t="s">
        <v>1080</v>
      </c>
    </row>
    <row r="155" spans="2:9">
      <c r="B155" s="5">
        <v>1</v>
      </c>
      <c r="C155" s="5" t="s">
        <v>226</v>
      </c>
    </row>
    <row r="156" spans="2:9">
      <c r="B156" s="5">
        <v>1</v>
      </c>
      <c r="C156" s="5" t="s">
        <v>259</v>
      </c>
    </row>
    <row r="157" spans="2:9">
      <c r="B157" s="5">
        <v>1</v>
      </c>
      <c r="C157" s="5" t="s">
        <v>99</v>
      </c>
      <c r="E157" s="68" t="s">
        <v>828</v>
      </c>
    </row>
    <row r="158" spans="2:9">
      <c r="B158" s="5">
        <v>1</v>
      </c>
      <c r="C158" s="5" t="s">
        <v>103</v>
      </c>
    </row>
    <row r="159" spans="2:9">
      <c r="B159" s="5">
        <v>1</v>
      </c>
      <c r="C159" s="5" t="s">
        <v>254</v>
      </c>
      <c r="E159" s="5" t="s">
        <v>817</v>
      </c>
    </row>
    <row r="160" spans="2:9">
      <c r="B160" s="5">
        <v>1</v>
      </c>
      <c r="C160" s="5" t="s">
        <v>83</v>
      </c>
      <c r="E160" s="5" t="s">
        <v>823</v>
      </c>
    </row>
    <row r="161" spans="2:6">
      <c r="B161">
        <v>1</v>
      </c>
      <c r="C161" s="5" t="s">
        <v>79</v>
      </c>
      <c r="E161" s="68" t="s">
        <v>820</v>
      </c>
      <c r="F161" s="68" t="s">
        <v>821</v>
      </c>
    </row>
    <row r="162" spans="2:6">
      <c r="B162">
        <v>1</v>
      </c>
      <c r="C162" s="5" t="s">
        <v>271</v>
      </c>
    </row>
    <row r="163" spans="2:6">
      <c r="B163" s="5">
        <v>1</v>
      </c>
      <c r="C163" s="5" t="s">
        <v>353</v>
      </c>
      <c r="E163" s="68" t="s">
        <v>824</v>
      </c>
    </row>
    <row r="164" spans="2:6">
      <c r="B164">
        <v>1</v>
      </c>
      <c r="C164" s="5" t="s">
        <v>354</v>
      </c>
    </row>
    <row r="165" spans="2:6">
      <c r="B165" s="5">
        <v>1</v>
      </c>
      <c r="C165" s="5" t="s">
        <v>131</v>
      </c>
    </row>
    <row r="166" spans="2:6">
      <c r="B166">
        <v>1</v>
      </c>
      <c r="C166" s="5" t="s">
        <v>652</v>
      </c>
      <c r="E166" s="68" t="s">
        <v>829</v>
      </c>
      <c r="F166" s="68" t="s">
        <v>830</v>
      </c>
    </row>
    <row r="167" spans="2:6">
      <c r="B167" s="5">
        <v>1</v>
      </c>
      <c r="C167" s="5" t="s">
        <v>342</v>
      </c>
      <c r="E167" s="68" t="s">
        <v>831</v>
      </c>
    </row>
    <row r="168" spans="2:6">
      <c r="B168" s="5">
        <v>1</v>
      </c>
      <c r="C168" s="5" t="s">
        <v>104</v>
      </c>
    </row>
    <row r="169" spans="2:6">
      <c r="B169" s="5">
        <v>1</v>
      </c>
      <c r="C169" s="5" t="s">
        <v>322</v>
      </c>
      <c r="E169" s="68" t="s">
        <v>832</v>
      </c>
    </row>
    <row r="170" spans="2:6">
      <c r="B170" s="5">
        <v>1</v>
      </c>
      <c r="C170" s="5" t="s">
        <v>324</v>
      </c>
    </row>
    <row r="171" spans="2:6">
      <c r="B171" s="5">
        <v>1</v>
      </c>
      <c r="C171" s="5" t="s">
        <v>321</v>
      </c>
    </row>
    <row r="172" spans="2:6">
      <c r="B172">
        <v>1</v>
      </c>
      <c r="C172" s="5" t="s">
        <v>840</v>
      </c>
    </row>
    <row r="173" spans="2:6">
      <c r="B173" s="5">
        <v>1</v>
      </c>
      <c r="C173" s="5" t="s">
        <v>133</v>
      </c>
      <c r="E173" s="68" t="s">
        <v>820</v>
      </c>
      <c r="F173" s="68" t="s">
        <v>821</v>
      </c>
    </row>
    <row r="174" spans="2:6">
      <c r="B174" s="5">
        <v>1</v>
      </c>
      <c r="C174" s="5" t="s">
        <v>94</v>
      </c>
      <c r="E174" s="68" t="s">
        <v>820</v>
      </c>
    </row>
    <row r="175" spans="2:6">
      <c r="B175" s="5">
        <v>1</v>
      </c>
      <c r="C175" s="5" t="s">
        <v>84</v>
      </c>
    </row>
    <row r="176" spans="2:6">
      <c r="B176" s="5">
        <v>1</v>
      </c>
      <c r="C176" s="5" t="s">
        <v>263</v>
      </c>
    </row>
    <row r="177" spans="2:7">
      <c r="B177" s="5">
        <v>1</v>
      </c>
      <c r="C177" s="5" t="s">
        <v>102</v>
      </c>
    </row>
    <row r="178" spans="2:7">
      <c r="B178" s="5">
        <v>1</v>
      </c>
      <c r="C178" s="5" t="s">
        <v>119</v>
      </c>
      <c r="E178" s="68" t="s">
        <v>833</v>
      </c>
      <c r="F178" s="5" t="s">
        <v>834</v>
      </c>
      <c r="G178" s="68" t="s">
        <v>835</v>
      </c>
    </row>
    <row r="179" spans="2:7">
      <c r="B179" s="5">
        <v>1</v>
      </c>
      <c r="C179" s="5" t="s">
        <v>302</v>
      </c>
      <c r="E179" s="68" t="s">
        <v>1091</v>
      </c>
      <c r="F179" s="68" t="s">
        <v>835</v>
      </c>
    </row>
    <row r="180" spans="2:7">
      <c r="B180" s="5">
        <v>1</v>
      </c>
      <c r="C180" s="5" t="s">
        <v>275</v>
      </c>
      <c r="E180" s="68" t="s">
        <v>833</v>
      </c>
      <c r="F180" s="5" t="s">
        <v>834</v>
      </c>
      <c r="G180" s="68" t="s">
        <v>835</v>
      </c>
    </row>
    <row r="181" spans="2:7">
      <c r="B181" s="5">
        <v>1</v>
      </c>
      <c r="C181" s="5" t="s">
        <v>124</v>
      </c>
    </row>
    <row r="182" spans="2:7">
      <c r="B182" s="5">
        <v>1</v>
      </c>
      <c r="C182" s="5" t="s">
        <v>127</v>
      </c>
    </row>
    <row r="183" spans="2:7">
      <c r="B183" s="5">
        <v>1</v>
      </c>
      <c r="C183" s="5" t="s">
        <v>123</v>
      </c>
    </row>
    <row r="184" spans="2:7">
      <c r="B184" s="5">
        <v>1</v>
      </c>
      <c r="C184" s="5" t="s">
        <v>107</v>
      </c>
    </row>
    <row r="185" spans="2:7">
      <c r="B185" s="5">
        <v>1</v>
      </c>
      <c r="C185" s="5" t="s">
        <v>345</v>
      </c>
    </row>
    <row r="186" spans="2:7">
      <c r="B186" s="5">
        <v>1</v>
      </c>
      <c r="C186" s="5" t="s">
        <v>121</v>
      </c>
      <c r="E186" s="68" t="s">
        <v>1094</v>
      </c>
    </row>
    <row r="187" spans="2:7">
      <c r="B187" s="5">
        <v>1</v>
      </c>
      <c r="C187" s="5" t="s">
        <v>111</v>
      </c>
      <c r="E187" s="68" t="s">
        <v>1103</v>
      </c>
    </row>
    <row r="188" spans="2:7">
      <c r="B188" s="5">
        <v>1</v>
      </c>
      <c r="C188" s="5" t="s">
        <v>338</v>
      </c>
    </row>
    <row r="189" spans="2:7">
      <c r="B189" s="5">
        <v>1</v>
      </c>
      <c r="C189" s="5" t="s">
        <v>178</v>
      </c>
    </row>
    <row r="190" spans="2:7">
      <c r="B190" s="5">
        <v>1</v>
      </c>
      <c r="C190" s="5" t="s">
        <v>87</v>
      </c>
    </row>
    <row r="191" spans="2:7">
      <c r="B191" s="5">
        <v>1</v>
      </c>
      <c r="C191" s="5" t="s">
        <v>235</v>
      </c>
    </row>
    <row r="192" spans="2:7">
      <c r="B192" s="5">
        <v>1</v>
      </c>
      <c r="C192" s="5" t="s">
        <v>128</v>
      </c>
    </row>
    <row r="193" spans="2:6">
      <c r="B193" s="5">
        <v>1</v>
      </c>
      <c r="C193" s="5" t="s">
        <v>231</v>
      </c>
    </row>
    <row r="194" spans="2:6">
      <c r="B194" s="5">
        <v>1</v>
      </c>
      <c r="C194" s="5" t="s">
        <v>282</v>
      </c>
    </row>
    <row r="195" spans="2:6">
      <c r="B195" s="5">
        <v>1</v>
      </c>
      <c r="C195" s="5" t="s">
        <v>250</v>
      </c>
    </row>
    <row r="196" spans="2:6">
      <c r="B196" s="5">
        <v>1</v>
      </c>
      <c r="C196" s="5" t="s">
        <v>360</v>
      </c>
    </row>
    <row r="197" spans="2:6">
      <c r="B197" s="5">
        <v>1</v>
      </c>
      <c r="C197" s="5" t="s">
        <v>222</v>
      </c>
    </row>
    <row r="198" spans="2:6">
      <c r="B198" s="5">
        <v>1</v>
      </c>
      <c r="C198" s="5" t="s">
        <v>253</v>
      </c>
    </row>
    <row r="199" spans="2:6">
      <c r="B199" s="5">
        <v>1</v>
      </c>
      <c r="C199" s="5" t="s">
        <v>323</v>
      </c>
    </row>
    <row r="200" spans="2:6">
      <c r="B200" s="5">
        <v>1</v>
      </c>
      <c r="C200" s="5" t="s">
        <v>1088</v>
      </c>
      <c r="E200" s="68" t="s">
        <v>1089</v>
      </c>
      <c r="F200" s="68" t="s">
        <v>1090</v>
      </c>
    </row>
    <row r="201" spans="2:6">
      <c r="B201" s="5">
        <v>1</v>
      </c>
      <c r="C201" s="5" t="s">
        <v>337</v>
      </c>
    </row>
    <row r="202" spans="2:6">
      <c r="B202" s="5">
        <v>1</v>
      </c>
      <c r="C202" s="5" t="s">
        <v>318</v>
      </c>
    </row>
    <row r="203" spans="2:6">
      <c r="B203">
        <v>1</v>
      </c>
      <c r="C203" s="5" t="s">
        <v>612</v>
      </c>
    </row>
    <row r="204" spans="2:6">
      <c r="B204" s="5">
        <v>1</v>
      </c>
      <c r="C204" s="5" t="s">
        <v>108</v>
      </c>
    </row>
    <row r="205" spans="2:6">
      <c r="B205" s="5">
        <v>1</v>
      </c>
      <c r="C205" s="5" t="s">
        <v>118</v>
      </c>
    </row>
    <row r="206" spans="2:6">
      <c r="B206">
        <v>1</v>
      </c>
      <c r="C206" s="5" t="s">
        <v>722</v>
      </c>
    </row>
    <row r="207" spans="2:6">
      <c r="B207" s="5">
        <v>1</v>
      </c>
      <c r="C207" s="5" t="s">
        <v>194</v>
      </c>
    </row>
    <row r="208" spans="2:6">
      <c r="B208" s="5">
        <v>1</v>
      </c>
      <c r="C208" s="5" t="s">
        <v>349</v>
      </c>
    </row>
    <row r="209" spans="2:6">
      <c r="B209">
        <v>1</v>
      </c>
      <c r="C209" s="5" t="s">
        <v>741</v>
      </c>
      <c r="E209" s="68" t="s">
        <v>1093</v>
      </c>
    </row>
    <row r="210" spans="2:6">
      <c r="B210" s="5">
        <v>1</v>
      </c>
      <c r="C210" s="5" t="s">
        <v>237</v>
      </c>
    </row>
    <row r="211" spans="2:6">
      <c r="B211" s="5">
        <v>1</v>
      </c>
      <c r="C211" s="5" t="s">
        <v>236</v>
      </c>
    </row>
    <row r="212" spans="2:6">
      <c r="B212" s="5">
        <v>1</v>
      </c>
      <c r="C212" s="5" t="s">
        <v>309</v>
      </c>
    </row>
    <row r="213" spans="2:6">
      <c r="B213" s="5">
        <v>1</v>
      </c>
      <c r="C213" s="5" t="s">
        <v>188</v>
      </c>
    </row>
    <row r="214" spans="2:6">
      <c r="B214">
        <v>1</v>
      </c>
      <c r="C214" s="5" t="s">
        <v>78</v>
      </c>
    </row>
    <row r="215" spans="2:6">
      <c r="B215" s="5">
        <v>1</v>
      </c>
      <c r="C215" s="5" t="s">
        <v>361</v>
      </c>
    </row>
    <row r="216" spans="2:6">
      <c r="B216" s="5">
        <v>1</v>
      </c>
      <c r="C216" s="5" t="s">
        <v>335</v>
      </c>
      <c r="E216" s="68" t="s">
        <v>1085</v>
      </c>
      <c r="F216" s="68" t="s">
        <v>1086</v>
      </c>
    </row>
    <row r="217" spans="2:6">
      <c r="B217">
        <v>1</v>
      </c>
      <c r="C217" s="5" t="s">
        <v>198</v>
      </c>
    </row>
    <row r="218" spans="2:6">
      <c r="B218" s="5">
        <v>1</v>
      </c>
      <c r="C218" s="5" t="s">
        <v>280</v>
      </c>
    </row>
    <row r="219" spans="2:6">
      <c r="B219" s="5">
        <v>1</v>
      </c>
      <c r="C219" s="5" t="s">
        <v>283</v>
      </c>
    </row>
    <row r="220" spans="2:6" s="5" customFormat="1">
      <c r="B220" s="5">
        <v>1</v>
      </c>
      <c r="C220" s="5" t="s">
        <v>1105</v>
      </c>
      <c r="E220" s="68" t="s">
        <v>1106</v>
      </c>
    </row>
    <row r="221" spans="2:6">
      <c r="B221" s="5">
        <v>1</v>
      </c>
      <c r="C221" s="5" t="s">
        <v>348</v>
      </c>
    </row>
    <row r="222" spans="2:6">
      <c r="B222" s="5">
        <v>1</v>
      </c>
      <c r="C222" s="5" t="s">
        <v>277</v>
      </c>
    </row>
    <row r="223" spans="2:6">
      <c r="B223" s="5">
        <v>1</v>
      </c>
      <c r="C223" s="5" t="s">
        <v>311</v>
      </c>
      <c r="E223" s="5" t="s">
        <v>822</v>
      </c>
    </row>
    <row r="224" spans="2:6">
      <c r="B224" s="5">
        <v>1</v>
      </c>
      <c r="C224" s="5" t="s">
        <v>71</v>
      </c>
    </row>
    <row r="225" spans="2:5">
      <c r="B225" s="5">
        <v>1</v>
      </c>
      <c r="C225" s="5" t="s">
        <v>260</v>
      </c>
    </row>
    <row r="226" spans="2:5">
      <c r="B226">
        <v>1</v>
      </c>
      <c r="C226" s="5" t="s">
        <v>806</v>
      </c>
      <c r="E226" s="68" t="s">
        <v>1084</v>
      </c>
    </row>
    <row r="227" spans="2:5">
      <c r="B227" s="5">
        <v>1</v>
      </c>
      <c r="C227" s="5" t="s">
        <v>75</v>
      </c>
    </row>
    <row r="228" spans="2:5">
      <c r="B228" s="5">
        <v>1</v>
      </c>
      <c r="C228" s="5" t="s">
        <v>72</v>
      </c>
    </row>
    <row r="229" spans="2:5">
      <c r="B229" s="5">
        <v>1</v>
      </c>
      <c r="C229" s="5" t="s">
        <v>346</v>
      </c>
    </row>
    <row r="230" spans="2:5">
      <c r="B230" s="5">
        <v>1</v>
      </c>
      <c r="C230" s="5" t="s">
        <v>125</v>
      </c>
    </row>
    <row r="231" spans="2:5">
      <c r="B231" s="5">
        <v>1</v>
      </c>
      <c r="C231" s="5" t="s">
        <v>105</v>
      </c>
    </row>
    <row r="232" spans="2:5">
      <c r="B232" s="5">
        <v>1</v>
      </c>
      <c r="C232" s="5" t="s">
        <v>89</v>
      </c>
      <c r="E232" s="68" t="s">
        <v>1098</v>
      </c>
    </row>
    <row r="233" spans="2:5">
      <c r="B233" s="5">
        <v>1</v>
      </c>
      <c r="C233" s="5" t="s">
        <v>343</v>
      </c>
    </row>
    <row r="234" spans="2:5">
      <c r="B234">
        <v>1</v>
      </c>
      <c r="C234" s="5" t="s">
        <v>334</v>
      </c>
    </row>
    <row r="235" spans="2:5">
      <c r="B235" s="5">
        <v>1</v>
      </c>
      <c r="C235" s="5" t="s">
        <v>117</v>
      </c>
    </row>
    <row r="236" spans="2:5">
      <c r="B236">
        <v>1</v>
      </c>
      <c r="C236" s="5" t="s">
        <v>90</v>
      </c>
    </row>
    <row r="237" spans="2:5">
      <c r="B237" s="5">
        <v>1</v>
      </c>
      <c r="C237" s="5" t="s">
        <v>351</v>
      </c>
    </row>
    <row r="238" spans="2:5">
      <c r="B238" s="5">
        <v>1</v>
      </c>
      <c r="C238" s="5" t="s">
        <v>95</v>
      </c>
      <c r="E238" s="68" t="s">
        <v>1095</v>
      </c>
    </row>
    <row r="239" spans="2:5">
      <c r="B239" s="5">
        <v>1</v>
      </c>
      <c r="C239" s="5" t="s">
        <v>356</v>
      </c>
    </row>
    <row r="240" spans="2:5">
      <c r="B240" s="5">
        <v>1</v>
      </c>
      <c r="C240" s="5" t="s">
        <v>264</v>
      </c>
    </row>
    <row r="241" spans="2:5">
      <c r="B241" s="5">
        <v>1</v>
      </c>
      <c r="C241" s="5" t="s">
        <v>333</v>
      </c>
    </row>
    <row r="242" spans="2:5">
      <c r="B242" s="5">
        <v>1</v>
      </c>
      <c r="C242" s="5" t="s">
        <v>244</v>
      </c>
    </row>
    <row r="243" spans="2:5">
      <c r="B243" s="5">
        <v>1</v>
      </c>
      <c r="C243" s="5" t="s">
        <v>239</v>
      </c>
    </row>
    <row r="244" spans="2:5">
      <c r="B244">
        <v>1</v>
      </c>
      <c r="C244" s="5" t="s">
        <v>305</v>
      </c>
    </row>
    <row r="245" spans="2:5">
      <c r="B245" s="5">
        <v>1</v>
      </c>
      <c r="C245" s="5" t="s">
        <v>364</v>
      </c>
    </row>
    <row r="246" spans="2:5">
      <c r="B246" s="5">
        <v>1</v>
      </c>
      <c r="C246" s="5" t="s">
        <v>314</v>
      </c>
    </row>
    <row r="247" spans="2:5">
      <c r="B247" s="5">
        <v>1</v>
      </c>
      <c r="C247" s="5" t="s">
        <v>81</v>
      </c>
      <c r="E247" s="68" t="s">
        <v>1104</v>
      </c>
    </row>
    <row r="248" spans="2:5">
      <c r="B248" s="5">
        <v>1</v>
      </c>
      <c r="C248" s="5" t="s">
        <v>80</v>
      </c>
    </row>
    <row r="249" spans="2:5">
      <c r="B249" s="5">
        <v>1</v>
      </c>
      <c r="C249" s="5" t="s">
        <v>126</v>
      </c>
    </row>
    <row r="250" spans="2:5">
      <c r="B250" s="5">
        <v>1</v>
      </c>
      <c r="C250" s="5" t="s">
        <v>109</v>
      </c>
    </row>
    <row r="251" spans="2:5">
      <c r="B251">
        <v>1</v>
      </c>
      <c r="C251" s="5" t="s">
        <v>269</v>
      </c>
    </row>
    <row r="252" spans="2:5">
      <c r="B252" s="5">
        <v>1</v>
      </c>
      <c r="C252" s="5" t="s">
        <v>251</v>
      </c>
    </row>
    <row r="253" spans="2:5">
      <c r="B253" s="5">
        <v>1</v>
      </c>
      <c r="C253" s="5" t="s">
        <v>85</v>
      </c>
    </row>
    <row r="254" spans="2:5">
      <c r="B254">
        <v>1</v>
      </c>
      <c r="C254" s="5" t="s">
        <v>649</v>
      </c>
    </row>
    <row r="255" spans="2:5">
      <c r="B255" s="5">
        <v>1</v>
      </c>
      <c r="C255" s="5" t="s">
        <v>350</v>
      </c>
    </row>
    <row r="256" spans="2:5">
      <c r="B256" s="5">
        <v>1</v>
      </c>
      <c r="C256" s="5" t="s">
        <v>315</v>
      </c>
    </row>
    <row r="257" spans="2:5">
      <c r="B257">
        <v>1</v>
      </c>
      <c r="C257" s="5" t="s">
        <v>228</v>
      </c>
    </row>
    <row r="258" spans="2:5">
      <c r="B258" s="5">
        <v>1</v>
      </c>
      <c r="C258" s="5" t="s">
        <v>134</v>
      </c>
      <c r="E258" s="5" t="s">
        <v>1080</v>
      </c>
    </row>
    <row r="259" spans="2:5">
      <c r="B259" s="5">
        <v>1</v>
      </c>
      <c r="C259" s="5" t="s">
        <v>132</v>
      </c>
    </row>
    <row r="260" spans="2:5">
      <c r="B260" s="5">
        <v>1</v>
      </c>
      <c r="C260" s="5" t="s">
        <v>113</v>
      </c>
    </row>
    <row r="261" spans="2:5">
      <c r="B261" s="5">
        <v>1</v>
      </c>
      <c r="C261" s="5" t="s">
        <v>347</v>
      </c>
    </row>
    <row r="262" spans="2:5">
      <c r="B262" s="5">
        <v>1</v>
      </c>
      <c r="C262" s="5" t="s">
        <v>74</v>
      </c>
    </row>
    <row r="263" spans="2:5">
      <c r="B263" s="5">
        <v>1</v>
      </c>
      <c r="C263" s="5" t="s">
        <v>76</v>
      </c>
      <c r="E263" s="5" t="s">
        <v>1080</v>
      </c>
    </row>
    <row r="264" spans="2:5">
      <c r="B264" s="5">
        <v>1</v>
      </c>
      <c r="C264" s="5" t="s">
        <v>77</v>
      </c>
    </row>
    <row r="265" spans="2:5">
      <c r="B265" s="5">
        <v>1</v>
      </c>
      <c r="C265" s="5" t="s">
        <v>100</v>
      </c>
      <c r="E265" s="68" t="s">
        <v>1108</v>
      </c>
    </row>
    <row r="266" spans="2:5">
      <c r="B266">
        <v>1</v>
      </c>
      <c r="C266" s="5" t="s">
        <v>802</v>
      </c>
      <c r="E266" s="68" t="s">
        <v>1081</v>
      </c>
    </row>
    <row r="267" spans="2:5">
      <c r="B267" s="5">
        <v>1</v>
      </c>
      <c r="C267" s="5" t="s">
        <v>240</v>
      </c>
    </row>
    <row r="268" spans="2:5">
      <c r="B268" s="5">
        <v>1</v>
      </c>
      <c r="C268" s="5" t="s">
        <v>110</v>
      </c>
    </row>
    <row r="269" spans="2:5">
      <c r="B269" s="5">
        <v>1</v>
      </c>
      <c r="C269" s="5" t="s">
        <v>272</v>
      </c>
    </row>
    <row r="270" spans="2:5">
      <c r="B270" s="5">
        <v>1</v>
      </c>
      <c r="C270" s="5" t="s">
        <v>92</v>
      </c>
    </row>
    <row r="271" spans="2:5">
      <c r="B271" s="5">
        <v>1</v>
      </c>
      <c r="C271" t="s">
        <v>106</v>
      </c>
      <c r="E271" s="68" t="s">
        <v>1107</v>
      </c>
    </row>
    <row r="272" spans="2:5">
      <c r="B272" s="5">
        <v>1</v>
      </c>
      <c r="C272" t="s">
        <v>320</v>
      </c>
    </row>
    <row r="273" spans="2:6">
      <c r="B273" s="5">
        <v>1</v>
      </c>
      <c r="C273" t="s">
        <v>82</v>
      </c>
      <c r="E273" s="68" t="s">
        <v>1097</v>
      </c>
    </row>
    <row r="274" spans="2:6">
      <c r="B274" s="5">
        <v>1</v>
      </c>
      <c r="C274" t="s">
        <v>176</v>
      </c>
    </row>
    <row r="275" spans="2:6">
      <c r="B275" s="5">
        <v>1</v>
      </c>
      <c r="C275" t="s">
        <v>70</v>
      </c>
    </row>
    <row r="276" spans="2:6">
      <c r="B276" s="5">
        <v>1</v>
      </c>
      <c r="C276" t="s">
        <v>135</v>
      </c>
    </row>
    <row r="277" spans="2:6">
      <c r="B277">
        <v>1</v>
      </c>
      <c r="C277" t="s">
        <v>276</v>
      </c>
    </row>
    <row r="278" spans="2:6">
      <c r="B278">
        <v>1</v>
      </c>
      <c r="C278" s="5" t="s">
        <v>362</v>
      </c>
    </row>
    <row r="279" spans="2:6">
      <c r="B279" s="5">
        <v>1</v>
      </c>
      <c r="C279" t="s">
        <v>96</v>
      </c>
      <c r="E279" s="68" t="s">
        <v>1087</v>
      </c>
      <c r="F279" s="68" t="s">
        <v>1099</v>
      </c>
    </row>
    <row r="280" spans="2:6">
      <c r="B280" s="5">
        <v>1</v>
      </c>
      <c r="C280" t="s">
        <v>101</v>
      </c>
    </row>
    <row r="281" spans="2:6">
      <c r="B281" s="5">
        <v>1</v>
      </c>
      <c r="C281" s="5" t="s">
        <v>352</v>
      </c>
    </row>
    <row r="282" spans="2:6">
      <c r="B282" s="5">
        <v>1</v>
      </c>
      <c r="C282" t="s">
        <v>328</v>
      </c>
    </row>
    <row r="283" spans="2:6">
      <c r="B283" s="5">
        <v>1</v>
      </c>
      <c r="C283" t="s">
        <v>120</v>
      </c>
    </row>
    <row r="284" spans="2:6">
      <c r="B284">
        <v>1</v>
      </c>
      <c r="C284" s="5" t="s">
        <v>779</v>
      </c>
    </row>
    <row r="285" spans="2:6">
      <c r="B285" s="5">
        <v>1</v>
      </c>
      <c r="C285" t="s">
        <v>327</v>
      </c>
    </row>
    <row r="286" spans="2:6">
      <c r="B286" s="5">
        <v>1</v>
      </c>
      <c r="C286" t="s">
        <v>114</v>
      </c>
    </row>
    <row r="287" spans="2:6">
      <c r="B287" s="5">
        <v>1</v>
      </c>
      <c r="C287" t="s">
        <v>331</v>
      </c>
    </row>
    <row r="288" spans="2:6">
      <c r="B288" s="5">
        <v>1</v>
      </c>
      <c r="C288" t="s">
        <v>301</v>
      </c>
      <c r="E288" s="68" t="s">
        <v>1083</v>
      </c>
    </row>
    <row r="289" spans="2:8">
      <c r="B289" s="5">
        <v>1</v>
      </c>
      <c r="C289" s="5" t="s">
        <v>533</v>
      </c>
      <c r="E289" s="68" t="s">
        <v>1110</v>
      </c>
    </row>
    <row r="290" spans="2:8">
      <c r="B290" s="5">
        <v>1</v>
      </c>
      <c r="C290" t="s">
        <v>279</v>
      </c>
    </row>
    <row r="291" spans="2:8">
      <c r="B291" s="5">
        <v>1</v>
      </c>
      <c r="C291" t="s">
        <v>98</v>
      </c>
    </row>
    <row r="292" spans="2:8">
      <c r="B292" s="5">
        <v>1</v>
      </c>
      <c r="C292" t="s">
        <v>136</v>
      </c>
    </row>
    <row r="293" spans="2:8">
      <c r="B293">
        <v>1</v>
      </c>
      <c r="C293" s="5" t="s">
        <v>536</v>
      </c>
    </row>
    <row r="294" spans="2:8">
      <c r="B294">
        <v>1</v>
      </c>
      <c r="C294" s="5" t="s">
        <v>904</v>
      </c>
      <c r="E294" s="68" t="s">
        <v>1113</v>
      </c>
      <c r="F294" s="68" t="s">
        <v>1109</v>
      </c>
      <c r="G294" s="68" t="s">
        <v>1111</v>
      </c>
      <c r="H294" t="s">
        <v>1112</v>
      </c>
    </row>
    <row r="295" spans="2:8">
      <c r="B295">
        <v>1</v>
      </c>
      <c r="C295" t="s">
        <v>230</v>
      </c>
    </row>
    <row r="296" spans="2:8">
      <c r="B296">
        <v>1</v>
      </c>
      <c r="C296" t="s">
        <v>268</v>
      </c>
      <c r="E296" s="5" t="s">
        <v>1100</v>
      </c>
      <c r="F296" s="68" t="s">
        <v>1101</v>
      </c>
    </row>
    <row r="297" spans="2:8">
      <c r="B297">
        <v>1</v>
      </c>
      <c r="C297" t="s">
        <v>112</v>
      </c>
      <c r="E297" s="68" t="s">
        <v>1092</v>
      </c>
    </row>
    <row r="298" spans="2:8">
      <c r="B298">
        <v>1</v>
      </c>
      <c r="C298" t="s">
        <v>214</v>
      </c>
    </row>
    <row r="299" spans="2:8">
      <c r="B299">
        <v>1</v>
      </c>
      <c r="C299" t="s">
        <v>115</v>
      </c>
    </row>
    <row r="300" spans="2:8">
      <c r="B300">
        <v>1</v>
      </c>
      <c r="C300" t="s">
        <v>88</v>
      </c>
    </row>
    <row r="301" spans="2:8">
      <c r="B301">
        <v>1</v>
      </c>
      <c r="C301" s="5" t="s">
        <v>608</v>
      </c>
      <c r="E301" s="68" t="s">
        <v>1102</v>
      </c>
    </row>
    <row r="302" spans="2:8">
      <c r="B302">
        <v>1</v>
      </c>
      <c r="C302" t="s">
        <v>73</v>
      </c>
    </row>
    <row r="303" spans="2:8">
      <c r="B303">
        <v>1</v>
      </c>
      <c r="C303" s="5" t="s">
        <v>246</v>
      </c>
    </row>
    <row r="304" spans="2:8">
      <c r="B304">
        <v>1</v>
      </c>
      <c r="C304" s="5" t="s">
        <v>229</v>
      </c>
    </row>
    <row r="305" spans="2:3">
      <c r="B305">
        <v>1</v>
      </c>
      <c r="C305" s="5" t="s">
        <v>531</v>
      </c>
    </row>
    <row r="306" spans="2:3">
      <c r="B306">
        <f>SUM(B129:B305)</f>
        <v>177</v>
      </c>
    </row>
  </sheetData>
  <sortState ref="B128:G273">
    <sortCondition ref="C128"/>
  </sortState>
  <dataConsolidate/>
  <dataValidations count="4">
    <dataValidation type="list" allowBlank="1" showInputMessage="1" showErrorMessage="1" sqref="C16">
      <formula1>$A$31:$A$34</formula1>
    </dataValidation>
    <dataValidation type="list" allowBlank="1" showInputMessage="1" showErrorMessage="1" sqref="C20">
      <formula1>$K$31:$K$34</formula1>
    </dataValidation>
    <dataValidation type="list" allowBlank="1" showInputMessage="1" showErrorMessage="1" sqref="C17">
      <formula1>$C$129:$C$305</formula1>
    </dataValidation>
    <dataValidation type="list" allowBlank="1" showInputMessage="1" showErrorMessage="1" sqref="C15">
      <formula1>$C$31:$C$123</formula1>
    </dataValidation>
  </dataValidations>
  <hyperlinks>
    <hyperlink ref="E130" r:id="rId1"/>
    <hyperlink ref="F130" r:id="rId2"/>
    <hyperlink ref="G130" r:id="rId3"/>
    <hyperlink ref="H130" r:id="rId4"/>
    <hyperlink ref="I130" r:id="rId5"/>
    <hyperlink ref="E142" r:id="rId6"/>
    <hyperlink ref="E148" r:id="rId7"/>
    <hyperlink ref="E173" r:id="rId8"/>
    <hyperlink ref="F173" r:id="rId9"/>
    <hyperlink ref="E161" r:id="rId10"/>
    <hyperlink ref="F161" r:id="rId11"/>
    <hyperlink ref="E163" r:id="rId12"/>
    <hyperlink ref="E157" r:id="rId13"/>
    <hyperlink ref="E166" r:id="rId14"/>
    <hyperlink ref="F166" r:id="rId15"/>
    <hyperlink ref="E167" r:id="rId16"/>
    <hyperlink ref="E169" r:id="rId17"/>
    <hyperlink ref="E178" r:id="rId18"/>
    <hyperlink ref="G178" r:id="rId19"/>
    <hyperlink ref="E180" r:id="rId20"/>
    <hyperlink ref="G180" r:id="rId21"/>
    <hyperlink ref="E129" r:id="rId22"/>
    <hyperlink ref="E174" r:id="rId23"/>
    <hyperlink ref="E266" r:id="rId24"/>
    <hyperlink ref="F142" r:id="rId25"/>
    <hyperlink ref="E288" r:id="rId26"/>
    <hyperlink ref="E226" r:id="rId27"/>
    <hyperlink ref="E216" r:id="rId28"/>
    <hyperlink ref="F216" r:id="rId29"/>
    <hyperlink ref="E279" r:id="rId30"/>
    <hyperlink ref="E200" r:id="rId31"/>
    <hyperlink ref="F200" r:id="rId32"/>
    <hyperlink ref="E179" r:id="rId33"/>
    <hyperlink ref="F179" r:id="rId34"/>
    <hyperlink ref="E297" r:id="rId35"/>
    <hyperlink ref="E209" r:id="rId36"/>
    <hyperlink ref="E186" r:id="rId37"/>
    <hyperlink ref="E238" r:id="rId38"/>
    <hyperlink ref="G142" r:id="rId39"/>
    <hyperlink ref="E273" r:id="rId40"/>
    <hyperlink ref="E232" r:id="rId41"/>
    <hyperlink ref="F279" r:id="rId42"/>
    <hyperlink ref="F296" r:id="rId43"/>
    <hyperlink ref="E301" r:id="rId44"/>
    <hyperlink ref="E187" r:id="rId45"/>
    <hyperlink ref="E247" r:id="rId46"/>
    <hyperlink ref="E220" r:id="rId47"/>
    <hyperlink ref="E289" r:id="rId48" display="jose.castro@equiposmc.com"/>
    <hyperlink ref="E271" r:id="rId49"/>
    <hyperlink ref="E265" r:id="rId50"/>
    <hyperlink ref="F294" r:id="rId51"/>
    <hyperlink ref="G294" r:id="rId52"/>
    <hyperlink ref="E294" r:id="rId53"/>
  </hyperlinks>
  <pageMargins left="0.7" right="0.7" top="0.75" bottom="0.75" header="0.3" footer="0.3"/>
  <pageSetup orientation="portrait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>
    <tabColor theme="6" tint="0.39997558519241921"/>
  </sheetPr>
  <dimension ref="A1:W353"/>
  <sheetViews>
    <sheetView tabSelected="1" zoomScale="70" zoomScaleNormal="70" zoomScaleSheetLayoutView="75" workbookViewId="0">
      <pane ySplit="1" topLeftCell="A65" activePane="bottomLeft" state="frozen"/>
      <selection pane="bottomLeft" activeCell="J69" sqref="J69"/>
    </sheetView>
  </sheetViews>
  <sheetFormatPr baseColWidth="10" defaultRowHeight="15"/>
  <cols>
    <col min="1" max="1" width="10.28515625" customWidth="1"/>
    <col min="2" max="2" width="12.7109375" customWidth="1"/>
    <col min="3" max="3" width="19.140625" customWidth="1"/>
    <col min="4" max="4" width="16.42578125" bestFit="1" customWidth="1"/>
    <col min="5" max="5" width="20.7109375" customWidth="1"/>
    <col min="6" max="6" width="21.140625" customWidth="1"/>
    <col min="7" max="7" width="19.85546875" customWidth="1"/>
    <col min="8" max="8" width="16" customWidth="1"/>
    <col min="9" max="9" width="17.85546875" customWidth="1"/>
    <col min="10" max="10" width="17" customWidth="1"/>
    <col min="11" max="11" width="16.140625" customWidth="1"/>
    <col min="12" max="12" width="13.85546875" style="5" customWidth="1"/>
    <col min="13" max="13" width="13.28515625" customWidth="1"/>
    <col min="14" max="14" width="11.7109375" customWidth="1"/>
    <col min="15" max="15" width="12.140625" hidden="1" customWidth="1"/>
    <col min="16" max="16" width="13.42578125" customWidth="1"/>
    <col min="17" max="17" width="10.7109375" customWidth="1"/>
    <col min="18" max="18" width="10.7109375" style="5" customWidth="1"/>
    <col min="19" max="19" width="12.7109375" style="12" customWidth="1"/>
    <col min="20" max="20" width="13.42578125" customWidth="1"/>
    <col min="21" max="21" width="10.5703125" bestFit="1" customWidth="1"/>
    <col min="22" max="22" width="12.28515625" customWidth="1"/>
    <col min="23" max="23" width="7.7109375" customWidth="1"/>
  </cols>
  <sheetData>
    <row r="1" spans="1:23" s="10" customFormat="1" ht="63" customHeight="1" thickBot="1">
      <c r="A1" s="57" t="s">
        <v>433</v>
      </c>
      <c r="B1" s="57" t="s">
        <v>2</v>
      </c>
      <c r="C1" s="57" t="s">
        <v>4</v>
      </c>
      <c r="D1" s="57" t="s">
        <v>5</v>
      </c>
      <c r="E1" s="57" t="s">
        <v>6</v>
      </c>
      <c r="F1" s="57" t="s">
        <v>177</v>
      </c>
      <c r="G1" s="57" t="s">
        <v>174</v>
      </c>
      <c r="H1" s="58" t="s">
        <v>7</v>
      </c>
      <c r="I1" s="58" t="s">
        <v>232</v>
      </c>
      <c r="J1" s="57" t="s">
        <v>0</v>
      </c>
      <c r="K1" s="57" t="s">
        <v>1</v>
      </c>
      <c r="L1" s="57" t="s">
        <v>509</v>
      </c>
      <c r="M1" s="57" t="s">
        <v>199</v>
      </c>
      <c r="N1" s="57" t="s">
        <v>242</v>
      </c>
      <c r="O1" s="57" t="s">
        <v>3</v>
      </c>
      <c r="P1" s="57" t="s">
        <v>8</v>
      </c>
      <c r="Q1" s="59" t="s">
        <v>190</v>
      </c>
      <c r="R1" s="26" t="s">
        <v>344</v>
      </c>
      <c r="S1" s="56">
        <f>SUM(Q:Q)</f>
        <v>351</v>
      </c>
      <c r="T1" s="26" t="s">
        <v>199</v>
      </c>
      <c r="U1" s="27">
        <f>SUM(M:M)</f>
        <v>362</v>
      </c>
      <c r="V1" s="26" t="s">
        <v>195</v>
      </c>
      <c r="W1" s="28">
        <f>AVERAGE(P:P)</f>
        <v>5.4729344729344733</v>
      </c>
    </row>
    <row r="2" spans="1:23" s="10" customFormat="1" ht="63" customHeight="1">
      <c r="A2" s="93" t="s">
        <v>952</v>
      </c>
      <c r="B2" s="95">
        <v>42360</v>
      </c>
      <c r="C2" s="93" t="s">
        <v>944</v>
      </c>
      <c r="D2" s="93" t="s">
        <v>243</v>
      </c>
      <c r="E2" s="93" t="s">
        <v>354</v>
      </c>
      <c r="F2" s="93" t="s">
        <v>975</v>
      </c>
      <c r="G2" s="93" t="s">
        <v>192</v>
      </c>
      <c r="H2" s="94" t="s">
        <v>170</v>
      </c>
      <c r="I2" s="97" t="str">
        <f t="shared" ref="I2:I7" si="0">IF(J2=0,"PENDIENTE",IF(J2="C","CORREO ENVIADO",IF(J2="OF","OFICIO EN FIRMA",IF(J2="PF","PLANOS EN FIRMA",IF(J2="OM","OFICIO MAQUINADO","ATENDIDO")))))</f>
        <v>ATENDIDO</v>
      </c>
      <c r="J2" s="115">
        <v>19</v>
      </c>
      <c r="K2" s="96">
        <v>42387</v>
      </c>
      <c r="L2" s="96">
        <v>42387</v>
      </c>
      <c r="M2" s="54">
        <v>1</v>
      </c>
      <c r="N2" s="55" t="s">
        <v>266</v>
      </c>
      <c r="O2" s="54">
        <f t="shared" ref="O2:O7" si="1">IF(K2=0,0,(NETWORKDAYS(B2,K2)))</f>
        <v>20</v>
      </c>
      <c r="P2" s="54">
        <v>1</v>
      </c>
      <c r="Q2" s="54">
        <v>1</v>
      </c>
      <c r="R2" s="60" t="s">
        <v>267</v>
      </c>
      <c r="S2" s="30"/>
      <c r="T2" s="33"/>
      <c r="U2" s="29"/>
      <c r="V2" s="33"/>
      <c r="W2" s="30"/>
    </row>
    <row r="3" spans="1:23" s="10" customFormat="1" ht="63" customHeight="1">
      <c r="A3" s="48" t="s">
        <v>948</v>
      </c>
      <c r="B3" s="49">
        <v>42356</v>
      </c>
      <c r="C3" s="48" t="s">
        <v>69</v>
      </c>
      <c r="D3" s="48" t="s">
        <v>243</v>
      </c>
      <c r="E3" s="48" t="s">
        <v>121</v>
      </c>
      <c r="F3" s="48" t="s">
        <v>543</v>
      </c>
      <c r="G3" s="48" t="s">
        <v>192</v>
      </c>
      <c r="H3" s="50" t="s">
        <v>549</v>
      </c>
      <c r="I3" s="51" t="str">
        <f t="shared" si="0"/>
        <v>ATENDIDO</v>
      </c>
      <c r="J3" s="115">
        <v>1031</v>
      </c>
      <c r="K3" s="53">
        <v>42356</v>
      </c>
      <c r="L3" s="53">
        <v>42355</v>
      </c>
      <c r="M3" s="54">
        <v>1</v>
      </c>
      <c r="N3" s="55" t="s">
        <v>266</v>
      </c>
      <c r="O3" s="54">
        <f t="shared" si="1"/>
        <v>1</v>
      </c>
      <c r="P3" s="54">
        <v>1</v>
      </c>
      <c r="Q3" s="54">
        <v>1</v>
      </c>
      <c r="R3" s="60" t="s">
        <v>267</v>
      </c>
      <c r="S3" s="30"/>
      <c r="T3" s="33"/>
      <c r="U3" s="29"/>
      <c r="V3" s="33"/>
      <c r="W3" s="30"/>
    </row>
    <row r="4" spans="1:23" s="10" customFormat="1" ht="63" customHeight="1">
      <c r="A4" s="48" t="s">
        <v>940</v>
      </c>
      <c r="B4" s="49">
        <v>42354</v>
      </c>
      <c r="C4" s="48" t="s">
        <v>19</v>
      </c>
      <c r="D4" s="48" t="s">
        <v>243</v>
      </c>
      <c r="E4" s="48" t="s">
        <v>91</v>
      </c>
      <c r="F4" s="48" t="s">
        <v>939</v>
      </c>
      <c r="G4" s="48" t="s">
        <v>161</v>
      </c>
      <c r="H4" s="50" t="s">
        <v>170</v>
      </c>
      <c r="I4" s="51" t="str">
        <f t="shared" si="0"/>
        <v>ATENDIDO</v>
      </c>
      <c r="J4" s="61">
        <v>1022</v>
      </c>
      <c r="K4" s="53">
        <v>42355</v>
      </c>
      <c r="L4" s="53">
        <v>42355</v>
      </c>
      <c r="M4" s="54">
        <v>1</v>
      </c>
      <c r="N4" s="55" t="s">
        <v>266</v>
      </c>
      <c r="O4" s="64">
        <f t="shared" si="1"/>
        <v>2</v>
      </c>
      <c r="P4" s="54">
        <v>1</v>
      </c>
      <c r="Q4" s="54">
        <v>1</v>
      </c>
      <c r="R4" s="60" t="s">
        <v>267</v>
      </c>
      <c r="S4" s="30"/>
      <c r="T4" s="33"/>
      <c r="U4" s="29"/>
      <c r="V4" s="33"/>
      <c r="W4" s="30"/>
    </row>
    <row r="5" spans="1:23" s="10" customFormat="1" ht="63" customHeight="1">
      <c r="A5" s="48" t="s">
        <v>938</v>
      </c>
      <c r="B5" s="49">
        <v>42354</v>
      </c>
      <c r="C5" s="48" t="s">
        <v>19</v>
      </c>
      <c r="D5" s="48" t="s">
        <v>243</v>
      </c>
      <c r="E5" s="48" t="s">
        <v>91</v>
      </c>
      <c r="F5" s="48" t="s">
        <v>939</v>
      </c>
      <c r="G5" s="48" t="s">
        <v>161</v>
      </c>
      <c r="H5" s="50" t="s">
        <v>170</v>
      </c>
      <c r="I5" s="51" t="str">
        <f t="shared" si="0"/>
        <v>ATENDIDO</v>
      </c>
      <c r="J5" s="61">
        <v>1019</v>
      </c>
      <c r="K5" s="53">
        <v>42353</v>
      </c>
      <c r="L5" s="53">
        <v>42355</v>
      </c>
      <c r="M5" s="54">
        <v>1</v>
      </c>
      <c r="N5" s="55" t="s">
        <v>266</v>
      </c>
      <c r="O5" s="54">
        <f t="shared" si="1"/>
        <v>-2</v>
      </c>
      <c r="P5" s="54">
        <v>1</v>
      </c>
      <c r="Q5" s="54">
        <v>1</v>
      </c>
      <c r="R5" s="60" t="s">
        <v>267</v>
      </c>
      <c r="S5" s="30"/>
      <c r="T5" s="33"/>
      <c r="U5" s="29"/>
      <c r="V5" s="33"/>
      <c r="W5" s="30"/>
    </row>
    <row r="6" spans="1:23" s="10" customFormat="1" ht="63" customHeight="1">
      <c r="A6" s="48" t="s">
        <v>937</v>
      </c>
      <c r="B6" s="49">
        <v>42353</v>
      </c>
      <c r="C6" s="48" t="s">
        <v>12</v>
      </c>
      <c r="D6" s="48" t="s">
        <v>243</v>
      </c>
      <c r="E6" s="48" t="s">
        <v>71</v>
      </c>
      <c r="F6" s="48" t="s">
        <v>936</v>
      </c>
      <c r="G6" s="48" t="s">
        <v>192</v>
      </c>
      <c r="H6" s="50" t="s">
        <v>549</v>
      </c>
      <c r="I6" s="51" t="str">
        <f t="shared" si="0"/>
        <v>ATENDIDO</v>
      </c>
      <c r="J6" s="61">
        <v>1030</v>
      </c>
      <c r="K6" s="53">
        <v>42356</v>
      </c>
      <c r="L6" s="53">
        <v>42355</v>
      </c>
      <c r="M6" s="54">
        <v>1</v>
      </c>
      <c r="N6" s="55" t="s">
        <v>266</v>
      </c>
      <c r="O6" s="54">
        <f t="shared" si="1"/>
        <v>4</v>
      </c>
      <c r="P6" s="54">
        <v>1</v>
      </c>
      <c r="Q6" s="54">
        <v>1</v>
      </c>
      <c r="R6" s="60" t="s">
        <v>267</v>
      </c>
      <c r="S6" s="30"/>
      <c r="T6" s="33"/>
      <c r="U6" s="29"/>
      <c r="V6" s="33"/>
      <c r="W6" s="30"/>
    </row>
    <row r="7" spans="1:23" s="10" customFormat="1" ht="63" customHeight="1">
      <c r="A7" s="48" t="s">
        <v>935</v>
      </c>
      <c r="B7" s="49">
        <v>42353</v>
      </c>
      <c r="C7" s="48" t="s">
        <v>16</v>
      </c>
      <c r="D7" s="48" t="s">
        <v>243</v>
      </c>
      <c r="E7" s="48" t="s">
        <v>71</v>
      </c>
      <c r="F7" s="48" t="s">
        <v>936</v>
      </c>
      <c r="G7" s="48" t="s">
        <v>192</v>
      </c>
      <c r="H7" s="50" t="s">
        <v>549</v>
      </c>
      <c r="I7" s="51" t="str">
        <f t="shared" si="0"/>
        <v>ATENDIDO</v>
      </c>
      <c r="J7" s="52">
        <v>1033</v>
      </c>
      <c r="K7" s="53">
        <v>42355</v>
      </c>
      <c r="L7" s="53">
        <v>42355</v>
      </c>
      <c r="M7" s="54">
        <v>1</v>
      </c>
      <c r="N7" s="55" t="s">
        <v>266</v>
      </c>
      <c r="O7" s="54">
        <f t="shared" si="1"/>
        <v>3</v>
      </c>
      <c r="P7" s="54">
        <v>1</v>
      </c>
      <c r="Q7" s="54">
        <v>1</v>
      </c>
      <c r="R7" s="60" t="s">
        <v>267</v>
      </c>
      <c r="S7" s="30"/>
      <c r="T7" s="33"/>
      <c r="U7" s="29"/>
      <c r="V7" s="33"/>
      <c r="W7" s="30"/>
    </row>
    <row r="8" spans="1:23" s="10" customFormat="1" ht="63" customHeight="1">
      <c r="A8" s="48" t="s">
        <v>931</v>
      </c>
      <c r="B8" s="49">
        <v>42348</v>
      </c>
      <c r="C8" s="48" t="s">
        <v>18</v>
      </c>
      <c r="D8" s="48" t="s">
        <v>243</v>
      </c>
      <c r="E8" s="48" t="s">
        <v>652</v>
      </c>
      <c r="F8" s="48" t="s">
        <v>932</v>
      </c>
      <c r="G8" s="48" t="s">
        <v>192</v>
      </c>
      <c r="H8" s="50" t="s">
        <v>549</v>
      </c>
      <c r="I8" s="51" t="str">
        <f t="shared" ref="I8:I13" si="2">IF(J8=0,"PENDIENTE",IF(J8="C","CORREO ENVIADO",IF(J8="OF","OFICIO EN FIRMA",IF(J8="PF","PLANOS EN FIRMA",IF(J8="OM","OFICIO MAQUINADO","ATENDIDO")))))</f>
        <v>ATENDIDO</v>
      </c>
      <c r="J8" s="96" t="s">
        <v>606</v>
      </c>
      <c r="K8" s="53">
        <v>42349</v>
      </c>
      <c r="L8" s="53">
        <v>42349</v>
      </c>
      <c r="M8" s="54">
        <v>1</v>
      </c>
      <c r="N8" s="55" t="s">
        <v>266</v>
      </c>
      <c r="O8" s="63" t="s">
        <v>540</v>
      </c>
      <c r="P8" s="54">
        <f t="shared" ref="P8:P44" si="3">IF(L8=0,0,(NETWORKDAYS(B8,L8)))</f>
        <v>2</v>
      </c>
      <c r="Q8" s="54">
        <v>1</v>
      </c>
      <c r="R8" s="60" t="s">
        <v>267</v>
      </c>
      <c r="S8" s="30"/>
      <c r="T8" s="33"/>
      <c r="U8" s="29"/>
      <c r="V8" s="33"/>
      <c r="W8" s="30"/>
    </row>
    <row r="9" spans="1:23" s="10" customFormat="1" ht="63" customHeight="1">
      <c r="A9" s="48" t="s">
        <v>930</v>
      </c>
      <c r="B9" s="49">
        <v>42348</v>
      </c>
      <c r="C9" s="48" t="s">
        <v>32</v>
      </c>
      <c r="D9" s="48" t="s">
        <v>243</v>
      </c>
      <c r="E9" s="48" t="s">
        <v>83</v>
      </c>
      <c r="F9" s="48" t="s">
        <v>746</v>
      </c>
      <c r="G9" s="48" t="s">
        <v>192</v>
      </c>
      <c r="H9" s="50" t="s">
        <v>170</v>
      </c>
      <c r="I9" s="51" t="str">
        <f t="shared" si="2"/>
        <v>ATENDIDO</v>
      </c>
      <c r="J9" s="61">
        <v>1021</v>
      </c>
      <c r="K9" s="53">
        <v>42353</v>
      </c>
      <c r="L9" s="53">
        <v>42349</v>
      </c>
      <c r="M9" s="54">
        <v>1</v>
      </c>
      <c r="N9" s="55" t="s">
        <v>266</v>
      </c>
      <c r="O9" s="54">
        <f t="shared" ref="O9" si="4">IF(K9=0,0,(NETWORKDAYS(B9,K9)))</f>
        <v>4</v>
      </c>
      <c r="P9" s="54">
        <f t="shared" si="3"/>
        <v>2</v>
      </c>
      <c r="Q9" s="54">
        <v>1</v>
      </c>
      <c r="R9" s="60" t="s">
        <v>267</v>
      </c>
      <c r="S9" s="30"/>
      <c r="T9" s="33"/>
      <c r="U9" s="29"/>
      <c r="V9" s="33"/>
      <c r="W9" s="30"/>
    </row>
    <row r="10" spans="1:23" s="10" customFormat="1" ht="63" customHeight="1">
      <c r="A10" s="48" t="s">
        <v>918</v>
      </c>
      <c r="B10" s="49">
        <v>42347</v>
      </c>
      <c r="C10" s="48" t="s">
        <v>26</v>
      </c>
      <c r="D10" s="48" t="s">
        <v>243</v>
      </c>
      <c r="E10" s="48" t="s">
        <v>129</v>
      </c>
      <c r="F10" s="48" t="s">
        <v>919</v>
      </c>
      <c r="G10" s="48" t="s">
        <v>158</v>
      </c>
      <c r="H10" s="50" t="s">
        <v>170</v>
      </c>
      <c r="I10" s="51" t="str">
        <f t="shared" si="2"/>
        <v>ATENDIDO</v>
      </c>
      <c r="J10" s="61">
        <v>1018</v>
      </c>
      <c r="K10" s="53">
        <v>42348</v>
      </c>
      <c r="L10" s="53">
        <v>42349</v>
      </c>
      <c r="M10" s="54">
        <v>1</v>
      </c>
      <c r="N10" s="55" t="s">
        <v>266</v>
      </c>
      <c r="O10" s="54">
        <f t="shared" ref="O10" si="5">IF(K10=0,0,(NETWORKDAYS(B10,K10)))</f>
        <v>2</v>
      </c>
      <c r="P10" s="54">
        <f t="shared" si="3"/>
        <v>3</v>
      </c>
      <c r="Q10" s="54">
        <v>1</v>
      </c>
      <c r="R10" s="60" t="s">
        <v>267</v>
      </c>
      <c r="S10" s="30"/>
      <c r="T10" s="33"/>
      <c r="U10" s="29"/>
      <c r="V10" s="33"/>
      <c r="W10" s="30"/>
    </row>
    <row r="11" spans="1:23" s="10" customFormat="1" ht="41.25" customHeight="1">
      <c r="A11" s="48" t="s">
        <v>914</v>
      </c>
      <c r="B11" s="49">
        <v>42346</v>
      </c>
      <c r="C11" s="48" t="s">
        <v>32</v>
      </c>
      <c r="D11" s="48" t="s">
        <v>243</v>
      </c>
      <c r="E11" s="48" t="s">
        <v>916</v>
      </c>
      <c r="F11" s="48" t="s">
        <v>915</v>
      </c>
      <c r="G11" s="48" t="s">
        <v>192</v>
      </c>
      <c r="H11" s="50" t="s">
        <v>170</v>
      </c>
      <c r="I11" s="51" t="str">
        <f t="shared" si="2"/>
        <v>ATENDIDO</v>
      </c>
      <c r="J11" s="53" t="s">
        <v>1068</v>
      </c>
      <c r="K11" s="53">
        <v>42346</v>
      </c>
      <c r="L11" s="53">
        <v>42346</v>
      </c>
      <c r="M11" s="54">
        <v>1</v>
      </c>
      <c r="N11" s="55" t="s">
        <v>266</v>
      </c>
      <c r="O11" s="54">
        <f t="shared" ref="O11" si="6">IF(K11=0,0,(NETWORKDAYS(B11,K11)))</f>
        <v>1</v>
      </c>
      <c r="P11" s="54">
        <f t="shared" si="3"/>
        <v>1</v>
      </c>
      <c r="Q11" s="54">
        <v>1</v>
      </c>
      <c r="R11" s="60" t="s">
        <v>267</v>
      </c>
      <c r="S11" s="30"/>
      <c r="T11" s="33"/>
      <c r="U11" s="29"/>
      <c r="V11" s="33"/>
      <c r="W11" s="30"/>
    </row>
    <row r="12" spans="1:23" s="10" customFormat="1" ht="41.25" customHeight="1">
      <c r="A12" s="48" t="s">
        <v>913</v>
      </c>
      <c r="B12" s="49">
        <v>42341</v>
      </c>
      <c r="C12" s="48" t="s">
        <v>46</v>
      </c>
      <c r="D12" s="48" t="s">
        <v>243</v>
      </c>
      <c r="E12" s="48" t="s">
        <v>237</v>
      </c>
      <c r="F12" s="48" t="s">
        <v>891</v>
      </c>
      <c r="G12" s="48" t="s">
        <v>162</v>
      </c>
      <c r="H12" s="50" t="s">
        <v>170</v>
      </c>
      <c r="I12" s="51" t="str">
        <f t="shared" si="2"/>
        <v>ATENDIDO</v>
      </c>
      <c r="J12" s="61">
        <v>1012</v>
      </c>
      <c r="K12" s="53">
        <v>42348</v>
      </c>
      <c r="L12" s="53">
        <v>42349</v>
      </c>
      <c r="M12" s="54">
        <v>1</v>
      </c>
      <c r="N12" s="55" t="s">
        <v>266</v>
      </c>
      <c r="O12" s="54">
        <f t="shared" ref="O12" si="7">IF(K12=0,0,(NETWORKDAYS(B12,K12)))</f>
        <v>6</v>
      </c>
      <c r="P12" s="54">
        <f t="shared" si="3"/>
        <v>7</v>
      </c>
      <c r="Q12" s="54">
        <v>1</v>
      </c>
      <c r="R12" s="60" t="s">
        <v>267</v>
      </c>
      <c r="S12" s="30"/>
      <c r="T12" s="33"/>
      <c r="U12" s="29"/>
      <c r="V12" s="33"/>
      <c r="W12" s="30"/>
    </row>
    <row r="13" spans="1:23" s="10" customFormat="1" ht="41.25" customHeight="1">
      <c r="A13" s="48" t="s">
        <v>912</v>
      </c>
      <c r="B13" s="49">
        <v>42341</v>
      </c>
      <c r="C13" s="48" t="s">
        <v>18</v>
      </c>
      <c r="D13" s="48" t="s">
        <v>243</v>
      </c>
      <c r="E13" s="48" t="s">
        <v>89</v>
      </c>
      <c r="F13" s="48" t="s">
        <v>572</v>
      </c>
      <c r="G13" s="48" t="s">
        <v>192</v>
      </c>
      <c r="H13" s="50" t="s">
        <v>170</v>
      </c>
      <c r="I13" s="51" t="str">
        <f t="shared" si="2"/>
        <v>ATENDIDO</v>
      </c>
      <c r="J13" s="61" t="s">
        <v>574</v>
      </c>
      <c r="K13" s="53">
        <v>42353</v>
      </c>
      <c r="L13" s="53">
        <v>42353</v>
      </c>
      <c r="M13" s="54">
        <v>1</v>
      </c>
      <c r="N13" s="55" t="s">
        <v>266</v>
      </c>
      <c r="O13" s="54">
        <f t="shared" ref="O13" si="8">IF(K13=0,0,(NETWORKDAYS(B13,K13)))</f>
        <v>9</v>
      </c>
      <c r="P13" s="54">
        <f t="shared" si="3"/>
        <v>9</v>
      </c>
      <c r="Q13" s="54">
        <v>1</v>
      </c>
      <c r="R13" s="60" t="s">
        <v>267</v>
      </c>
      <c r="S13" s="30"/>
      <c r="T13" s="33"/>
      <c r="U13" s="29"/>
      <c r="V13" s="33"/>
      <c r="W13" s="30"/>
    </row>
    <row r="14" spans="1:23" s="10" customFormat="1" ht="41.25" customHeight="1">
      <c r="A14" s="48" t="s">
        <v>911</v>
      </c>
      <c r="B14" s="49">
        <v>42340</v>
      </c>
      <c r="C14" s="48" t="s">
        <v>18</v>
      </c>
      <c r="D14" s="48" t="s">
        <v>243</v>
      </c>
      <c r="E14" s="48" t="s">
        <v>71</v>
      </c>
      <c r="F14" s="48" t="s">
        <v>399</v>
      </c>
      <c r="G14" s="48" t="s">
        <v>192</v>
      </c>
      <c r="H14" s="50" t="s">
        <v>549</v>
      </c>
      <c r="I14" s="51" t="str">
        <f t="shared" ref="I14:I19" si="9">IF(J14=0,"PENDIENTE",IF(J14="C","CORREO ENVIADO",IF(J14="OF","OFICIO EN FIRMA",IF(J14="PF","PLANOS EN FIRMA",IF(J14="OM","OFICIO MAQUINADO","ATENDIDO")))))</f>
        <v>ATENDIDO</v>
      </c>
      <c r="J14" s="61">
        <v>1032</v>
      </c>
      <c r="K14" s="53">
        <v>42355</v>
      </c>
      <c r="L14" s="53">
        <v>42346</v>
      </c>
      <c r="M14" s="54">
        <v>1</v>
      </c>
      <c r="N14" s="55" t="s">
        <v>266</v>
      </c>
      <c r="O14" s="54">
        <f t="shared" ref="O14:O19" si="10">IF(K14=0,0,(NETWORKDAYS(B14,K14)))</f>
        <v>12</v>
      </c>
      <c r="P14" s="54">
        <f t="shared" si="3"/>
        <v>5</v>
      </c>
      <c r="Q14" s="54">
        <v>1</v>
      </c>
      <c r="R14" s="60" t="s">
        <v>267</v>
      </c>
      <c r="S14" s="30"/>
      <c r="T14" s="33"/>
      <c r="U14" s="29"/>
      <c r="V14" s="33"/>
      <c r="W14" s="30"/>
    </row>
    <row r="15" spans="1:23" s="10" customFormat="1" ht="41.25" customHeight="1">
      <c r="A15" s="48" t="s">
        <v>910</v>
      </c>
      <c r="B15" s="49">
        <v>42340</v>
      </c>
      <c r="C15" s="48" t="s">
        <v>18</v>
      </c>
      <c r="D15" s="48" t="s">
        <v>243</v>
      </c>
      <c r="E15" s="48" t="s">
        <v>71</v>
      </c>
      <c r="F15" s="48" t="s">
        <v>399</v>
      </c>
      <c r="G15" s="48" t="s">
        <v>192</v>
      </c>
      <c r="H15" s="50" t="s">
        <v>549</v>
      </c>
      <c r="I15" s="51" t="str">
        <f t="shared" si="9"/>
        <v>ATENDIDO</v>
      </c>
      <c r="J15" s="61">
        <v>1032</v>
      </c>
      <c r="K15" s="53">
        <v>42355</v>
      </c>
      <c r="L15" s="53">
        <v>42346</v>
      </c>
      <c r="M15" s="54">
        <v>1</v>
      </c>
      <c r="N15" s="55" t="s">
        <v>266</v>
      </c>
      <c r="O15" s="54">
        <f t="shared" si="10"/>
        <v>12</v>
      </c>
      <c r="P15" s="54">
        <f t="shared" si="3"/>
        <v>5</v>
      </c>
      <c r="Q15" s="54">
        <v>1</v>
      </c>
      <c r="R15" s="60" t="s">
        <v>267</v>
      </c>
      <c r="S15" s="30"/>
      <c r="T15" s="33"/>
      <c r="U15" s="29"/>
      <c r="V15" s="33"/>
      <c r="W15" s="30"/>
    </row>
    <row r="16" spans="1:23" s="10" customFormat="1" ht="41.25" customHeight="1">
      <c r="A16" s="48" t="s">
        <v>909</v>
      </c>
      <c r="B16" s="49">
        <v>42340</v>
      </c>
      <c r="C16" s="48" t="s">
        <v>18</v>
      </c>
      <c r="D16" s="48" t="s">
        <v>243</v>
      </c>
      <c r="E16" s="48" t="s">
        <v>71</v>
      </c>
      <c r="F16" s="48" t="s">
        <v>399</v>
      </c>
      <c r="G16" s="48" t="s">
        <v>192</v>
      </c>
      <c r="H16" s="50" t="s">
        <v>549</v>
      </c>
      <c r="I16" s="51" t="str">
        <f t="shared" si="9"/>
        <v>ATENDIDO</v>
      </c>
      <c r="J16" s="61">
        <v>1033</v>
      </c>
      <c r="K16" s="53">
        <v>42356</v>
      </c>
      <c r="L16" s="53">
        <v>42346</v>
      </c>
      <c r="M16" s="54">
        <v>1</v>
      </c>
      <c r="N16" s="55" t="s">
        <v>266</v>
      </c>
      <c r="O16" s="54">
        <f t="shared" si="10"/>
        <v>13</v>
      </c>
      <c r="P16" s="54">
        <f t="shared" si="3"/>
        <v>5</v>
      </c>
      <c r="Q16" s="54">
        <v>1</v>
      </c>
      <c r="R16" s="60" t="s">
        <v>267</v>
      </c>
      <c r="S16" s="30"/>
      <c r="T16" s="33"/>
      <c r="U16" s="29"/>
      <c r="V16" s="33"/>
      <c r="W16" s="30"/>
    </row>
    <row r="17" spans="1:23" s="10" customFormat="1" ht="41.25" customHeight="1">
      <c r="A17" s="48" t="s">
        <v>908</v>
      </c>
      <c r="B17" s="49">
        <v>42340</v>
      </c>
      <c r="C17" s="48" t="s">
        <v>18</v>
      </c>
      <c r="D17" s="48" t="s">
        <v>243</v>
      </c>
      <c r="E17" s="48" t="s">
        <v>71</v>
      </c>
      <c r="F17" s="48" t="s">
        <v>399</v>
      </c>
      <c r="G17" s="48" t="s">
        <v>192</v>
      </c>
      <c r="H17" s="50" t="s">
        <v>549</v>
      </c>
      <c r="I17" s="51" t="str">
        <f t="shared" si="9"/>
        <v>ATENDIDO</v>
      </c>
      <c r="J17" s="61">
        <v>1033</v>
      </c>
      <c r="K17" s="53">
        <v>42356</v>
      </c>
      <c r="L17" s="53">
        <v>42346</v>
      </c>
      <c r="M17" s="54">
        <v>1</v>
      </c>
      <c r="N17" s="55" t="s">
        <v>266</v>
      </c>
      <c r="O17" s="54">
        <f t="shared" si="10"/>
        <v>13</v>
      </c>
      <c r="P17" s="54">
        <f t="shared" si="3"/>
        <v>5</v>
      </c>
      <c r="Q17" s="54">
        <v>1</v>
      </c>
      <c r="R17" s="60" t="s">
        <v>267</v>
      </c>
      <c r="S17" s="30"/>
      <c r="T17" s="33"/>
      <c r="U17" s="29"/>
      <c r="V17" s="33"/>
      <c r="W17" s="30"/>
    </row>
    <row r="18" spans="1:23" s="10" customFormat="1" ht="41.25" customHeight="1">
      <c r="A18" s="48" t="s">
        <v>907</v>
      </c>
      <c r="B18" s="49">
        <v>42340</v>
      </c>
      <c r="C18" s="48" t="s">
        <v>18</v>
      </c>
      <c r="D18" s="48" t="s">
        <v>243</v>
      </c>
      <c r="E18" s="48" t="s">
        <v>71</v>
      </c>
      <c r="F18" s="48" t="s">
        <v>399</v>
      </c>
      <c r="G18" s="48" t="s">
        <v>192</v>
      </c>
      <c r="H18" s="50" t="s">
        <v>549</v>
      </c>
      <c r="I18" s="51" t="str">
        <f t="shared" si="9"/>
        <v>ATENDIDO</v>
      </c>
      <c r="J18" s="61">
        <v>1033</v>
      </c>
      <c r="K18" s="53">
        <v>42356</v>
      </c>
      <c r="L18" s="53">
        <v>42346</v>
      </c>
      <c r="M18" s="54">
        <v>1</v>
      </c>
      <c r="N18" s="55" t="s">
        <v>266</v>
      </c>
      <c r="O18" s="54">
        <f t="shared" si="10"/>
        <v>13</v>
      </c>
      <c r="P18" s="54">
        <f t="shared" si="3"/>
        <v>5</v>
      </c>
      <c r="Q18" s="54">
        <v>1</v>
      </c>
      <c r="R18" s="60" t="s">
        <v>267</v>
      </c>
      <c r="S18" s="30"/>
      <c r="T18" s="33"/>
      <c r="U18" s="29"/>
      <c r="V18" s="33"/>
      <c r="W18" s="30"/>
    </row>
    <row r="19" spans="1:23" s="10" customFormat="1" ht="41.25" customHeight="1">
      <c r="A19" s="48" t="s">
        <v>906</v>
      </c>
      <c r="B19" s="49">
        <v>42340</v>
      </c>
      <c r="C19" s="48" t="s">
        <v>18</v>
      </c>
      <c r="D19" s="48" t="s">
        <v>243</v>
      </c>
      <c r="E19" s="48" t="s">
        <v>71</v>
      </c>
      <c r="F19" s="48" t="s">
        <v>399</v>
      </c>
      <c r="G19" s="48" t="s">
        <v>192</v>
      </c>
      <c r="H19" s="50" t="s">
        <v>549</v>
      </c>
      <c r="I19" s="51" t="str">
        <f t="shared" si="9"/>
        <v>ATENDIDO</v>
      </c>
      <c r="J19" s="61">
        <v>1033</v>
      </c>
      <c r="K19" s="53">
        <v>42356</v>
      </c>
      <c r="L19" s="53">
        <v>42346</v>
      </c>
      <c r="M19" s="54">
        <v>1</v>
      </c>
      <c r="N19" s="55" t="s">
        <v>266</v>
      </c>
      <c r="O19" s="54">
        <f t="shared" si="10"/>
        <v>13</v>
      </c>
      <c r="P19" s="54">
        <f t="shared" si="3"/>
        <v>5</v>
      </c>
      <c r="Q19" s="54">
        <v>1</v>
      </c>
      <c r="R19" s="60" t="s">
        <v>267</v>
      </c>
      <c r="S19" s="30"/>
      <c r="T19" s="33"/>
      <c r="U19" s="29"/>
      <c r="V19" s="33"/>
      <c r="W19" s="30"/>
    </row>
    <row r="20" spans="1:23" s="10" customFormat="1" ht="41.25" customHeight="1">
      <c r="A20" s="48" t="s">
        <v>903</v>
      </c>
      <c r="B20" s="49">
        <v>42339</v>
      </c>
      <c r="C20" s="48" t="s">
        <v>16</v>
      </c>
      <c r="D20" s="48" t="s">
        <v>243</v>
      </c>
      <c r="E20" s="48" t="s">
        <v>904</v>
      </c>
      <c r="F20" s="48" t="s">
        <v>905</v>
      </c>
      <c r="G20" s="48" t="s">
        <v>192</v>
      </c>
      <c r="H20" s="50" t="s">
        <v>170</v>
      </c>
      <c r="I20" s="51" t="str">
        <f t="shared" ref="I20:I27" si="11">IF(J20=0,"PENDIENTE",IF(J20="C","CORREO ENVIADO",IF(J20="OF","OFICIO EN FIRMA",IF(J20="PF","PLANOS EN FIRMA",IF(J20="OM","OFICIO MAQUINADO","ATENDIDO")))))</f>
        <v>ATENDIDO</v>
      </c>
      <c r="J20" s="61" t="s">
        <v>408</v>
      </c>
      <c r="K20" s="53">
        <v>42711</v>
      </c>
      <c r="L20" s="53">
        <v>42345</v>
      </c>
      <c r="M20" s="54">
        <v>1</v>
      </c>
      <c r="N20" s="55" t="s">
        <v>266</v>
      </c>
      <c r="O20" s="54">
        <f t="shared" ref="O20:O22" si="12">IF(K20=0,0,(NETWORKDAYS(B20,K20)))</f>
        <v>267</v>
      </c>
      <c r="P20" s="54">
        <f t="shared" si="3"/>
        <v>5</v>
      </c>
      <c r="Q20" s="54">
        <v>1</v>
      </c>
      <c r="R20" s="60" t="s">
        <v>267</v>
      </c>
      <c r="S20" s="30"/>
      <c r="T20" s="33"/>
      <c r="U20" s="29"/>
      <c r="V20" s="33"/>
      <c r="W20" s="30"/>
    </row>
    <row r="21" spans="1:23" s="10" customFormat="1" ht="41.25" customHeight="1">
      <c r="A21" s="48" t="s">
        <v>902</v>
      </c>
      <c r="B21" s="49">
        <v>42339</v>
      </c>
      <c r="C21" s="48" t="s">
        <v>32</v>
      </c>
      <c r="D21" s="48" t="s">
        <v>243</v>
      </c>
      <c r="E21" s="48" t="s">
        <v>94</v>
      </c>
      <c r="F21" s="48" t="s">
        <v>685</v>
      </c>
      <c r="G21" s="48" t="s">
        <v>192</v>
      </c>
      <c r="H21" s="50" t="s">
        <v>172</v>
      </c>
      <c r="I21" s="51" t="str">
        <f t="shared" si="11"/>
        <v>ATENDIDO</v>
      </c>
      <c r="J21" s="61">
        <v>1027</v>
      </c>
      <c r="K21" s="53">
        <v>42353</v>
      </c>
      <c r="L21" s="53">
        <v>42346</v>
      </c>
      <c r="M21" s="54">
        <v>1</v>
      </c>
      <c r="N21" s="55" t="s">
        <v>266</v>
      </c>
      <c r="O21" s="54">
        <f t="shared" si="12"/>
        <v>11</v>
      </c>
      <c r="P21" s="54">
        <f t="shared" si="3"/>
        <v>6</v>
      </c>
      <c r="Q21" s="54">
        <v>1</v>
      </c>
      <c r="R21" s="60" t="s">
        <v>267</v>
      </c>
      <c r="S21" s="30"/>
      <c r="T21" s="33"/>
      <c r="U21" s="29"/>
      <c r="V21" s="33"/>
      <c r="W21" s="30"/>
    </row>
    <row r="22" spans="1:23" s="10" customFormat="1" ht="41.25" customHeight="1">
      <c r="A22" s="48" t="s">
        <v>901</v>
      </c>
      <c r="B22" s="49">
        <v>42339</v>
      </c>
      <c r="C22" s="48" t="s">
        <v>18</v>
      </c>
      <c r="D22" s="48" t="s">
        <v>243</v>
      </c>
      <c r="E22" s="48" t="s">
        <v>94</v>
      </c>
      <c r="F22" s="48" t="s">
        <v>685</v>
      </c>
      <c r="G22" s="48" t="s">
        <v>192</v>
      </c>
      <c r="H22" s="50" t="s">
        <v>172</v>
      </c>
      <c r="I22" s="51" t="str">
        <f t="shared" si="11"/>
        <v>ATENDIDO</v>
      </c>
      <c r="J22" s="61">
        <v>1020</v>
      </c>
      <c r="K22" s="53">
        <v>42353</v>
      </c>
      <c r="L22" s="53">
        <v>42346</v>
      </c>
      <c r="M22" s="54">
        <v>1</v>
      </c>
      <c r="N22" s="55" t="s">
        <v>266</v>
      </c>
      <c r="O22" s="54">
        <f t="shared" si="12"/>
        <v>11</v>
      </c>
      <c r="P22" s="54">
        <f t="shared" si="3"/>
        <v>6</v>
      </c>
      <c r="Q22" s="54">
        <v>1</v>
      </c>
      <c r="R22" s="60" t="s">
        <v>267</v>
      </c>
      <c r="S22" s="30"/>
      <c r="T22" s="33"/>
      <c r="U22" s="29"/>
      <c r="V22" s="33"/>
      <c r="W22" s="30"/>
    </row>
    <row r="23" spans="1:23" s="10" customFormat="1" ht="41.25" customHeight="1">
      <c r="A23" s="48" t="s">
        <v>900</v>
      </c>
      <c r="B23" s="49">
        <v>42339</v>
      </c>
      <c r="C23" s="48" t="s">
        <v>18</v>
      </c>
      <c r="D23" s="48" t="s">
        <v>243</v>
      </c>
      <c r="E23" s="48" t="s">
        <v>83</v>
      </c>
      <c r="F23" s="48" t="s">
        <v>746</v>
      </c>
      <c r="G23" s="48" t="s">
        <v>192</v>
      </c>
      <c r="H23" s="50" t="s">
        <v>170</v>
      </c>
      <c r="I23" s="51" t="str">
        <f t="shared" si="11"/>
        <v>ATENDIDO</v>
      </c>
      <c r="J23" s="61">
        <v>1011</v>
      </c>
      <c r="K23" s="53">
        <v>42346</v>
      </c>
      <c r="L23" s="53">
        <v>42346</v>
      </c>
      <c r="M23" s="54">
        <v>1</v>
      </c>
      <c r="N23" s="55" t="s">
        <v>266</v>
      </c>
      <c r="O23" s="54">
        <f t="shared" ref="O23:O26" si="13">IF(K23=0,0,(NETWORKDAYS(B23,K23)))</f>
        <v>6</v>
      </c>
      <c r="P23" s="54">
        <f t="shared" si="3"/>
        <v>6</v>
      </c>
      <c r="Q23" s="54">
        <v>1</v>
      </c>
      <c r="R23" s="60" t="s">
        <v>267</v>
      </c>
      <c r="S23" s="30"/>
      <c r="T23" s="33"/>
      <c r="U23" s="29"/>
      <c r="V23" s="33"/>
      <c r="W23" s="30"/>
    </row>
    <row r="24" spans="1:23" s="10" customFormat="1" ht="41.25" customHeight="1">
      <c r="A24" s="48" t="s">
        <v>899</v>
      </c>
      <c r="B24" s="49">
        <v>42339</v>
      </c>
      <c r="C24" s="48" t="s">
        <v>16</v>
      </c>
      <c r="D24" s="48" t="s">
        <v>243</v>
      </c>
      <c r="E24" s="48" t="s">
        <v>83</v>
      </c>
      <c r="F24" s="48" t="s">
        <v>746</v>
      </c>
      <c r="G24" s="48" t="s">
        <v>192</v>
      </c>
      <c r="H24" s="50" t="s">
        <v>170</v>
      </c>
      <c r="I24" s="51" t="str">
        <f t="shared" si="11"/>
        <v>ATENDIDO</v>
      </c>
      <c r="J24" s="61">
        <v>1014</v>
      </c>
      <c r="K24" s="53">
        <v>42285</v>
      </c>
      <c r="L24" s="53">
        <v>42346</v>
      </c>
      <c r="M24" s="54">
        <v>1</v>
      </c>
      <c r="N24" s="55" t="s">
        <v>266</v>
      </c>
      <c r="O24" s="54">
        <f t="shared" si="13"/>
        <v>-39</v>
      </c>
      <c r="P24" s="54">
        <f t="shared" si="3"/>
        <v>6</v>
      </c>
      <c r="Q24" s="54">
        <v>1</v>
      </c>
      <c r="R24" s="60" t="s">
        <v>267</v>
      </c>
      <c r="S24" s="30"/>
      <c r="T24" s="33"/>
      <c r="U24" s="29"/>
      <c r="V24" s="33"/>
      <c r="W24" s="30"/>
    </row>
    <row r="25" spans="1:23" s="10" customFormat="1" ht="41.25" customHeight="1">
      <c r="A25" s="48" t="s">
        <v>898</v>
      </c>
      <c r="B25" s="49">
        <v>42339</v>
      </c>
      <c r="C25" s="48" t="s">
        <v>12</v>
      </c>
      <c r="D25" s="48" t="s">
        <v>243</v>
      </c>
      <c r="E25" s="48" t="s">
        <v>94</v>
      </c>
      <c r="F25" s="48" t="s">
        <v>685</v>
      </c>
      <c r="G25" s="48" t="s">
        <v>192</v>
      </c>
      <c r="H25" s="50" t="s">
        <v>172</v>
      </c>
      <c r="I25" s="51" t="str">
        <f t="shared" si="11"/>
        <v>ATENDIDO</v>
      </c>
      <c r="J25" s="61">
        <v>1025</v>
      </c>
      <c r="K25" s="53">
        <v>42352</v>
      </c>
      <c r="L25" s="53">
        <v>42346</v>
      </c>
      <c r="M25" s="54">
        <v>1</v>
      </c>
      <c r="N25" s="55" t="s">
        <v>266</v>
      </c>
      <c r="O25" s="54">
        <f t="shared" si="13"/>
        <v>10</v>
      </c>
      <c r="P25" s="54">
        <f t="shared" si="3"/>
        <v>6</v>
      </c>
      <c r="Q25" s="54">
        <v>1</v>
      </c>
      <c r="R25" s="60" t="s">
        <v>267</v>
      </c>
      <c r="S25" s="30"/>
      <c r="T25" s="33"/>
      <c r="U25" s="29"/>
      <c r="V25" s="33"/>
      <c r="W25" s="30"/>
    </row>
    <row r="26" spans="1:23" s="10" customFormat="1" ht="41.25" customHeight="1">
      <c r="A26" s="48" t="s">
        <v>897</v>
      </c>
      <c r="B26" s="49">
        <v>42339</v>
      </c>
      <c r="C26" s="48" t="s">
        <v>16</v>
      </c>
      <c r="D26" s="48" t="s">
        <v>243</v>
      </c>
      <c r="E26" s="48" t="s">
        <v>94</v>
      </c>
      <c r="F26" s="48" t="s">
        <v>685</v>
      </c>
      <c r="G26" s="48" t="s">
        <v>192</v>
      </c>
      <c r="H26" s="50" t="s">
        <v>172</v>
      </c>
      <c r="I26" s="51" t="str">
        <f t="shared" si="11"/>
        <v>ATENDIDO</v>
      </c>
      <c r="J26" s="61">
        <v>1026</v>
      </c>
      <c r="K26" s="53">
        <v>42352</v>
      </c>
      <c r="L26" s="53">
        <v>42346</v>
      </c>
      <c r="M26" s="54">
        <v>1</v>
      </c>
      <c r="N26" s="55" t="s">
        <v>266</v>
      </c>
      <c r="O26" s="54">
        <f t="shared" si="13"/>
        <v>10</v>
      </c>
      <c r="P26" s="54">
        <f t="shared" si="3"/>
        <v>6</v>
      </c>
      <c r="Q26" s="54">
        <v>1</v>
      </c>
      <c r="R26" s="60" t="s">
        <v>267</v>
      </c>
      <c r="S26" s="30"/>
      <c r="T26" s="33"/>
      <c r="U26" s="29"/>
      <c r="V26" s="33"/>
      <c r="W26" s="30"/>
    </row>
    <row r="27" spans="1:23" s="10" customFormat="1" ht="41.25" customHeight="1">
      <c r="A27" s="48" t="s">
        <v>896</v>
      </c>
      <c r="B27" s="49">
        <v>42334</v>
      </c>
      <c r="C27" s="48" t="s">
        <v>16</v>
      </c>
      <c r="D27" s="48" t="s">
        <v>243</v>
      </c>
      <c r="E27" s="48" t="s">
        <v>301</v>
      </c>
      <c r="F27" s="48" t="s">
        <v>589</v>
      </c>
      <c r="G27" s="48" t="s">
        <v>192</v>
      </c>
      <c r="H27" s="50" t="s">
        <v>172</v>
      </c>
      <c r="I27" s="51" t="str">
        <f t="shared" si="11"/>
        <v>ATENDIDO</v>
      </c>
      <c r="J27" s="61">
        <v>1013</v>
      </c>
      <c r="K27" s="53">
        <v>42348</v>
      </c>
      <c r="L27" s="53">
        <v>42340</v>
      </c>
      <c r="M27" s="54">
        <v>1</v>
      </c>
      <c r="N27" s="55" t="s">
        <v>266</v>
      </c>
      <c r="O27" s="54">
        <f t="shared" ref="O27:O29" si="14">IF(K27=0,0,(NETWORKDAYS(B27,K27)))</f>
        <v>11</v>
      </c>
      <c r="P27" s="54">
        <f t="shared" si="3"/>
        <v>5</v>
      </c>
      <c r="Q27" s="54">
        <v>1</v>
      </c>
      <c r="R27" s="60" t="s">
        <v>267</v>
      </c>
      <c r="S27" s="30"/>
      <c r="T27" s="33"/>
      <c r="U27" s="29"/>
      <c r="V27" s="33"/>
      <c r="W27" s="30"/>
    </row>
    <row r="28" spans="1:23" s="10" customFormat="1" ht="41.25" customHeight="1">
      <c r="A28" s="48" t="s">
        <v>894</v>
      </c>
      <c r="B28" s="49">
        <v>42333</v>
      </c>
      <c r="C28" s="48" t="s">
        <v>13</v>
      </c>
      <c r="D28" s="48" t="s">
        <v>243</v>
      </c>
      <c r="E28" s="48" t="s">
        <v>76</v>
      </c>
      <c r="F28" s="48" t="s">
        <v>895</v>
      </c>
      <c r="G28" s="48" t="s">
        <v>192</v>
      </c>
      <c r="H28" s="50" t="s">
        <v>170</v>
      </c>
      <c r="I28" s="51" t="str">
        <f t="shared" ref="I28:I33" si="15">IF(J28=0,"PENDIENTE",IF(J28="C","CORREO ENVIADO",IF(J28="OF","OFICIO EN FIRMA",IF(J28="PF","PLANOS EN FIRMA",IF(J28="OM","OFICIO MAQUINADO","ATENDIDO")))))</f>
        <v>ATENDIDO</v>
      </c>
      <c r="J28" s="61" t="s">
        <v>408</v>
      </c>
      <c r="K28" s="53">
        <v>42356</v>
      </c>
      <c r="L28" s="53">
        <v>42354</v>
      </c>
      <c r="M28" s="54">
        <v>1</v>
      </c>
      <c r="N28" s="55" t="s">
        <v>266</v>
      </c>
      <c r="O28" s="54">
        <f t="shared" si="14"/>
        <v>18</v>
      </c>
      <c r="P28" s="54">
        <f t="shared" si="3"/>
        <v>16</v>
      </c>
      <c r="Q28" s="54">
        <v>1</v>
      </c>
      <c r="R28" s="60" t="s">
        <v>267</v>
      </c>
      <c r="S28" s="30"/>
      <c r="T28" s="33"/>
      <c r="U28" s="29"/>
      <c r="V28" s="33"/>
      <c r="W28" s="30"/>
    </row>
    <row r="29" spans="1:23" s="10" customFormat="1" ht="41.25" customHeight="1">
      <c r="A29" s="48" t="s">
        <v>890</v>
      </c>
      <c r="B29" s="49">
        <v>42331</v>
      </c>
      <c r="C29" s="48" t="s">
        <v>46</v>
      </c>
      <c r="D29" s="48" t="s">
        <v>243</v>
      </c>
      <c r="E29" s="48" t="s">
        <v>237</v>
      </c>
      <c r="F29" s="48" t="s">
        <v>891</v>
      </c>
      <c r="G29" s="48" t="s">
        <v>162</v>
      </c>
      <c r="H29" s="50" t="s">
        <v>170</v>
      </c>
      <c r="I29" s="51" t="str">
        <f t="shared" si="15"/>
        <v>ATENDIDO</v>
      </c>
      <c r="J29" s="61">
        <v>1012</v>
      </c>
      <c r="K29" s="53">
        <v>42348</v>
      </c>
      <c r="L29" s="53">
        <v>42331</v>
      </c>
      <c r="M29" s="54">
        <v>1</v>
      </c>
      <c r="N29" s="55" t="s">
        <v>266</v>
      </c>
      <c r="O29" s="54">
        <f t="shared" si="14"/>
        <v>14</v>
      </c>
      <c r="P29" s="54">
        <f t="shared" si="3"/>
        <v>1</v>
      </c>
      <c r="Q29" s="54">
        <v>1</v>
      </c>
      <c r="R29" s="60" t="s">
        <v>267</v>
      </c>
      <c r="S29" s="30"/>
      <c r="T29" s="33"/>
      <c r="U29" s="29"/>
      <c r="V29" s="33"/>
      <c r="W29" s="30"/>
    </row>
    <row r="30" spans="1:23" s="10" customFormat="1" ht="41.25" customHeight="1">
      <c r="A30" s="48" t="s">
        <v>888</v>
      </c>
      <c r="B30" s="49">
        <v>42325</v>
      </c>
      <c r="C30" s="48" t="s">
        <v>22</v>
      </c>
      <c r="D30" s="48" t="s">
        <v>243</v>
      </c>
      <c r="E30" s="48" t="s">
        <v>269</v>
      </c>
      <c r="F30" s="48" t="s">
        <v>889</v>
      </c>
      <c r="G30" s="48" t="s">
        <v>145</v>
      </c>
      <c r="H30" s="50" t="s">
        <v>170</v>
      </c>
      <c r="I30" s="51" t="str">
        <f t="shared" si="15"/>
        <v>ATENDIDO</v>
      </c>
      <c r="J30" s="61">
        <v>1024</v>
      </c>
      <c r="K30" s="53">
        <v>42722</v>
      </c>
      <c r="L30" s="53">
        <v>42327</v>
      </c>
      <c r="M30" s="54">
        <v>1</v>
      </c>
      <c r="N30" s="55" t="s">
        <v>266</v>
      </c>
      <c r="O30" s="54">
        <f>IF(K30=0,0,(NETWORKDAYS(B30,K30)))</f>
        <v>284</v>
      </c>
      <c r="P30" s="54">
        <f t="shared" si="3"/>
        <v>3</v>
      </c>
      <c r="Q30" s="54">
        <v>1</v>
      </c>
      <c r="R30" s="60" t="s">
        <v>267</v>
      </c>
      <c r="S30" s="30"/>
      <c r="T30" s="33"/>
      <c r="U30" s="29"/>
      <c r="V30" s="33"/>
      <c r="W30" s="30"/>
    </row>
    <row r="31" spans="1:23" s="10" customFormat="1" ht="41.25" customHeight="1">
      <c r="A31" s="48" t="s">
        <v>887</v>
      </c>
      <c r="B31" s="49">
        <v>42325</v>
      </c>
      <c r="C31" s="48" t="s">
        <v>32</v>
      </c>
      <c r="D31" s="48" t="s">
        <v>243</v>
      </c>
      <c r="E31" s="48" t="s">
        <v>94</v>
      </c>
      <c r="F31" s="48" t="s">
        <v>585</v>
      </c>
      <c r="G31" s="48" t="s">
        <v>192</v>
      </c>
      <c r="H31" s="50" t="s">
        <v>172</v>
      </c>
      <c r="I31" s="51" t="str">
        <f t="shared" si="15"/>
        <v>ATENDIDO</v>
      </c>
      <c r="J31" s="61">
        <v>969</v>
      </c>
      <c r="K31" s="53">
        <v>42331</v>
      </c>
      <c r="L31" s="53">
        <v>42331</v>
      </c>
      <c r="M31" s="54">
        <v>1</v>
      </c>
      <c r="N31" s="55" t="s">
        <v>266</v>
      </c>
      <c r="O31" s="54">
        <f>IF(K31=0,0,(NETWORKDAYS(B31,K31)))</f>
        <v>5</v>
      </c>
      <c r="P31" s="54">
        <f t="shared" si="3"/>
        <v>5</v>
      </c>
      <c r="Q31" s="54">
        <v>1</v>
      </c>
      <c r="R31" s="60" t="s">
        <v>267</v>
      </c>
      <c r="S31" s="30"/>
      <c r="T31" s="33"/>
      <c r="U31" s="29"/>
      <c r="V31" s="33"/>
      <c r="W31" s="30"/>
    </row>
    <row r="32" spans="1:23" s="10" customFormat="1" ht="41.25" customHeight="1">
      <c r="A32" s="48" t="s">
        <v>886</v>
      </c>
      <c r="B32" s="49">
        <v>42325</v>
      </c>
      <c r="C32" s="48" t="s">
        <v>18</v>
      </c>
      <c r="D32" s="48" t="s">
        <v>243</v>
      </c>
      <c r="E32" s="48" t="s">
        <v>94</v>
      </c>
      <c r="F32" s="48" t="s">
        <v>585</v>
      </c>
      <c r="G32" s="48" t="s">
        <v>192</v>
      </c>
      <c r="H32" s="50" t="s">
        <v>172</v>
      </c>
      <c r="I32" s="51" t="str">
        <f t="shared" si="15"/>
        <v>ATENDIDO</v>
      </c>
      <c r="J32" s="61">
        <v>984</v>
      </c>
      <c r="K32" s="53">
        <v>42333</v>
      </c>
      <c r="L32" s="53">
        <v>42333</v>
      </c>
      <c r="M32" s="54">
        <v>1</v>
      </c>
      <c r="N32" s="55" t="s">
        <v>266</v>
      </c>
      <c r="O32" s="54">
        <f>IF(K32=0,0,(NETWORKDAYS(B32,K32)))</f>
        <v>7</v>
      </c>
      <c r="P32" s="54">
        <f t="shared" si="3"/>
        <v>7</v>
      </c>
      <c r="Q32" s="54">
        <v>1</v>
      </c>
      <c r="R32" s="60" t="s">
        <v>267</v>
      </c>
      <c r="S32" s="30"/>
      <c r="T32" s="33"/>
      <c r="U32" s="29"/>
      <c r="V32" s="33"/>
      <c r="W32" s="30"/>
    </row>
    <row r="33" spans="1:23" s="10" customFormat="1" ht="41.25" customHeight="1">
      <c r="A33" s="48" t="s">
        <v>884</v>
      </c>
      <c r="B33" s="49">
        <v>42320</v>
      </c>
      <c r="C33" s="48" t="s">
        <v>312</v>
      </c>
      <c r="D33" s="48" t="s">
        <v>243</v>
      </c>
      <c r="E33" s="48" t="s">
        <v>802</v>
      </c>
      <c r="F33" s="48" t="s">
        <v>885</v>
      </c>
      <c r="G33" s="48" t="s">
        <v>313</v>
      </c>
      <c r="H33" s="50" t="s">
        <v>170</v>
      </c>
      <c r="I33" s="51" t="str">
        <f t="shared" si="15"/>
        <v>ATENDIDO</v>
      </c>
      <c r="J33" s="61">
        <v>983</v>
      </c>
      <c r="K33" s="53">
        <v>42331</v>
      </c>
      <c r="L33" s="53">
        <v>42331</v>
      </c>
      <c r="M33" s="54">
        <v>1</v>
      </c>
      <c r="N33" s="55" t="s">
        <v>266</v>
      </c>
      <c r="O33" s="54">
        <f t="shared" ref="O33" si="16">IF(K33=0,0,(NETWORKDAYS(B33,K33)))</f>
        <v>8</v>
      </c>
      <c r="P33" s="54">
        <f t="shared" si="3"/>
        <v>8</v>
      </c>
      <c r="Q33" s="54">
        <v>1</v>
      </c>
      <c r="R33" s="60" t="s">
        <v>267</v>
      </c>
      <c r="S33" s="30"/>
      <c r="T33" s="33"/>
      <c r="U33" s="29"/>
      <c r="V33" s="33"/>
      <c r="W33" s="30"/>
    </row>
    <row r="34" spans="1:23" s="10" customFormat="1" ht="41.25" customHeight="1">
      <c r="A34" s="48" t="s">
        <v>883</v>
      </c>
      <c r="B34" s="49">
        <v>42319</v>
      </c>
      <c r="C34" s="48" t="s">
        <v>32</v>
      </c>
      <c r="D34" s="48" t="s">
        <v>243</v>
      </c>
      <c r="E34" s="48" t="s">
        <v>94</v>
      </c>
      <c r="F34" s="48" t="s">
        <v>685</v>
      </c>
      <c r="G34" s="48" t="s">
        <v>192</v>
      </c>
      <c r="H34" s="50" t="s">
        <v>172</v>
      </c>
      <c r="I34" s="51" t="str">
        <f t="shared" ref="I34:I39" si="17">IF(J34=0,"PENDIENTE",IF(J34="C","CORREO ENVIADO",IF(J34="OF","OFICIO EN FIRMA",IF(J34="PF","PLANOS EN FIRMA",IF(J34="OM","OFICIO MAQUINADO","ATENDIDO")))))</f>
        <v>ATENDIDO</v>
      </c>
      <c r="J34" s="52">
        <v>969</v>
      </c>
      <c r="K34" s="53">
        <v>42331</v>
      </c>
      <c r="L34" s="70">
        <v>42326</v>
      </c>
      <c r="M34" s="54">
        <v>1</v>
      </c>
      <c r="N34" s="55" t="s">
        <v>266</v>
      </c>
      <c r="O34" s="54">
        <f t="shared" ref="O34:O39" si="18">IF(K34=0,0,(NETWORKDAYS(B34,K34)))</f>
        <v>9</v>
      </c>
      <c r="P34" s="54">
        <f t="shared" si="3"/>
        <v>6</v>
      </c>
      <c r="Q34" s="54">
        <v>1</v>
      </c>
      <c r="R34" s="60" t="s">
        <v>267</v>
      </c>
      <c r="S34" s="30"/>
      <c r="T34" s="33"/>
      <c r="U34" s="29"/>
      <c r="V34" s="33"/>
      <c r="W34" s="30"/>
    </row>
    <row r="35" spans="1:23" s="10" customFormat="1" ht="41.25" customHeight="1">
      <c r="A35" s="48" t="s">
        <v>882</v>
      </c>
      <c r="B35" s="49">
        <v>42319</v>
      </c>
      <c r="C35" s="48" t="s">
        <v>12</v>
      </c>
      <c r="D35" s="48" t="s">
        <v>243</v>
      </c>
      <c r="E35" s="48" t="s">
        <v>94</v>
      </c>
      <c r="F35" s="48" t="s">
        <v>685</v>
      </c>
      <c r="G35" s="48" t="s">
        <v>192</v>
      </c>
      <c r="H35" s="50" t="s">
        <v>172</v>
      </c>
      <c r="I35" s="51" t="str">
        <f t="shared" si="17"/>
        <v>ATENDIDO</v>
      </c>
      <c r="J35" s="61">
        <v>968</v>
      </c>
      <c r="K35" s="53">
        <v>42331</v>
      </c>
      <c r="L35" s="70">
        <v>42327</v>
      </c>
      <c r="M35" s="54">
        <v>1</v>
      </c>
      <c r="N35" s="55" t="s">
        <v>266</v>
      </c>
      <c r="O35" s="54">
        <f t="shared" si="18"/>
        <v>9</v>
      </c>
      <c r="P35" s="54">
        <f t="shared" si="3"/>
        <v>7</v>
      </c>
      <c r="Q35" s="54">
        <v>1</v>
      </c>
      <c r="R35" s="60" t="s">
        <v>267</v>
      </c>
      <c r="S35" s="30"/>
      <c r="T35" s="33"/>
      <c r="U35" s="29"/>
      <c r="V35" s="33"/>
      <c r="W35" s="30"/>
    </row>
    <row r="36" spans="1:23" s="10" customFormat="1" ht="41.25" customHeight="1">
      <c r="A36" s="48" t="s">
        <v>881</v>
      </c>
      <c r="B36" s="49">
        <v>42319</v>
      </c>
      <c r="C36" s="48" t="s">
        <v>12</v>
      </c>
      <c r="D36" s="48" t="s">
        <v>243</v>
      </c>
      <c r="E36" s="48" t="s">
        <v>94</v>
      </c>
      <c r="F36" s="48" t="s">
        <v>685</v>
      </c>
      <c r="G36" s="48" t="s">
        <v>192</v>
      </c>
      <c r="H36" s="50" t="s">
        <v>172</v>
      </c>
      <c r="I36" s="51" t="str">
        <f t="shared" si="17"/>
        <v>ATENDIDO</v>
      </c>
      <c r="J36" s="61">
        <v>971</v>
      </c>
      <c r="K36" s="53">
        <v>42331</v>
      </c>
      <c r="L36" s="70">
        <v>42327</v>
      </c>
      <c r="M36" s="54">
        <v>1</v>
      </c>
      <c r="N36" s="55" t="s">
        <v>266</v>
      </c>
      <c r="O36" s="54">
        <f t="shared" si="18"/>
        <v>9</v>
      </c>
      <c r="P36" s="54">
        <f t="shared" si="3"/>
        <v>7</v>
      </c>
      <c r="Q36" s="54">
        <v>1</v>
      </c>
      <c r="R36" s="60" t="s">
        <v>267</v>
      </c>
      <c r="S36" s="30"/>
      <c r="T36" s="33"/>
      <c r="U36" s="29"/>
      <c r="V36" s="33"/>
      <c r="W36" s="30"/>
    </row>
    <row r="37" spans="1:23" s="10" customFormat="1" ht="41.25" customHeight="1">
      <c r="A37" s="48" t="s">
        <v>880</v>
      </c>
      <c r="B37" s="49">
        <v>42319</v>
      </c>
      <c r="C37" s="48" t="s">
        <v>12</v>
      </c>
      <c r="D37" s="48" t="s">
        <v>243</v>
      </c>
      <c r="E37" s="48" t="s">
        <v>94</v>
      </c>
      <c r="F37" s="48" t="s">
        <v>685</v>
      </c>
      <c r="G37" s="48" t="s">
        <v>192</v>
      </c>
      <c r="H37" s="50" t="s">
        <v>172</v>
      </c>
      <c r="I37" s="51" t="str">
        <f t="shared" si="17"/>
        <v>ATENDIDO</v>
      </c>
      <c r="J37" s="61">
        <v>970</v>
      </c>
      <c r="K37" s="53">
        <v>42331</v>
      </c>
      <c r="L37" s="70">
        <v>42327</v>
      </c>
      <c r="M37" s="54">
        <v>1</v>
      </c>
      <c r="N37" s="55" t="s">
        <v>266</v>
      </c>
      <c r="O37" s="54">
        <f t="shared" si="18"/>
        <v>9</v>
      </c>
      <c r="P37" s="54">
        <f t="shared" si="3"/>
        <v>7</v>
      </c>
      <c r="Q37" s="54">
        <v>1</v>
      </c>
      <c r="R37" s="60" t="s">
        <v>267</v>
      </c>
      <c r="S37" s="30"/>
      <c r="T37" s="33"/>
      <c r="U37" s="29"/>
      <c r="V37" s="33"/>
      <c r="W37" s="30"/>
    </row>
    <row r="38" spans="1:23" s="10" customFormat="1" ht="41.25" customHeight="1">
      <c r="A38" s="48" t="s">
        <v>879</v>
      </c>
      <c r="B38" s="49">
        <v>42319</v>
      </c>
      <c r="C38" s="48" t="s">
        <v>13</v>
      </c>
      <c r="D38" s="48" t="s">
        <v>243</v>
      </c>
      <c r="E38" s="48" t="s">
        <v>73</v>
      </c>
      <c r="F38" s="48" t="s">
        <v>644</v>
      </c>
      <c r="G38" s="48" t="s">
        <v>192</v>
      </c>
      <c r="H38" s="50" t="s">
        <v>170</v>
      </c>
      <c r="I38" s="51" t="str">
        <f t="shared" si="17"/>
        <v>ATENDIDO</v>
      </c>
      <c r="J38" s="61">
        <v>972</v>
      </c>
      <c r="K38" s="53">
        <v>42328</v>
      </c>
      <c r="L38" s="53">
        <v>42331</v>
      </c>
      <c r="M38" s="54">
        <v>1</v>
      </c>
      <c r="N38" s="55" t="s">
        <v>266</v>
      </c>
      <c r="O38" s="54">
        <f t="shared" si="18"/>
        <v>8</v>
      </c>
      <c r="P38" s="54">
        <f t="shared" si="3"/>
        <v>9</v>
      </c>
      <c r="Q38" s="54">
        <v>1</v>
      </c>
      <c r="R38" s="60" t="s">
        <v>267</v>
      </c>
      <c r="S38" s="30"/>
      <c r="T38" s="33"/>
      <c r="U38" s="29"/>
      <c r="V38" s="33"/>
      <c r="W38" s="30"/>
    </row>
    <row r="39" spans="1:23" s="10" customFormat="1" ht="41.25" customHeight="1">
      <c r="A39" s="48" t="s">
        <v>877</v>
      </c>
      <c r="B39" s="49">
        <v>42319</v>
      </c>
      <c r="C39" s="48" t="s">
        <v>68</v>
      </c>
      <c r="D39" s="48" t="s">
        <v>243</v>
      </c>
      <c r="E39" s="48" t="s">
        <v>122</v>
      </c>
      <c r="F39" s="48" t="s">
        <v>878</v>
      </c>
      <c r="G39" s="48" t="s">
        <v>156</v>
      </c>
      <c r="H39" s="50" t="s">
        <v>549</v>
      </c>
      <c r="I39" s="51" t="str">
        <f t="shared" si="17"/>
        <v>ATENDIDO</v>
      </c>
      <c r="J39" s="61" t="s">
        <v>574</v>
      </c>
      <c r="K39" s="53">
        <v>42346</v>
      </c>
      <c r="L39" s="70">
        <v>42327</v>
      </c>
      <c r="M39" s="54">
        <v>1</v>
      </c>
      <c r="N39" s="55" t="s">
        <v>266</v>
      </c>
      <c r="O39" s="54">
        <f t="shared" si="18"/>
        <v>20</v>
      </c>
      <c r="P39" s="54">
        <f t="shared" si="3"/>
        <v>7</v>
      </c>
      <c r="Q39" s="54">
        <v>1</v>
      </c>
      <c r="R39" s="60" t="s">
        <v>267</v>
      </c>
      <c r="S39" s="30"/>
      <c r="T39" s="33"/>
      <c r="U39" s="29"/>
      <c r="V39" s="33"/>
      <c r="W39" s="30"/>
    </row>
    <row r="40" spans="1:23" s="10" customFormat="1" ht="41.25" customHeight="1">
      <c r="A40" s="48" t="s">
        <v>876</v>
      </c>
      <c r="B40" s="49">
        <v>42318</v>
      </c>
      <c r="C40" s="48" t="s">
        <v>12</v>
      </c>
      <c r="D40" s="48" t="s">
        <v>243</v>
      </c>
      <c r="E40" s="48" t="s">
        <v>71</v>
      </c>
      <c r="F40" s="48" t="s">
        <v>399</v>
      </c>
      <c r="G40" s="48" t="s">
        <v>192</v>
      </c>
      <c r="H40" s="50" t="s">
        <v>549</v>
      </c>
      <c r="I40" s="51" t="str">
        <f t="shared" ref="I40:I50" si="19">IF(J40=0,"PENDIENTE",IF(J40="C","CORREO ENVIADO",IF(J40="OF","OFICIO EN FIRMA",IF(J40="PF","PLANOS EN FIRMA",IF(J40="OM","OFICIO MAQUINADO","ATENDIDO")))))</f>
        <v>ATENDIDO</v>
      </c>
      <c r="J40" s="61">
        <v>974</v>
      </c>
      <c r="K40" s="53">
        <v>42332</v>
      </c>
      <c r="L40" s="70">
        <v>42331</v>
      </c>
      <c r="M40" s="54">
        <v>1</v>
      </c>
      <c r="N40" s="55" t="s">
        <v>266</v>
      </c>
      <c r="O40" s="54">
        <f t="shared" ref="O40:O50" si="20">IF(K40=0,0,(NETWORKDAYS(B40,K40)))</f>
        <v>11</v>
      </c>
      <c r="P40" s="54">
        <f t="shared" si="3"/>
        <v>10</v>
      </c>
      <c r="Q40" s="54">
        <v>1</v>
      </c>
      <c r="R40" s="60" t="s">
        <v>267</v>
      </c>
      <c r="S40" s="30"/>
      <c r="T40" s="33"/>
      <c r="U40" s="29"/>
      <c r="V40" s="33"/>
      <c r="W40" s="30"/>
    </row>
    <row r="41" spans="1:23" s="10" customFormat="1" ht="41.25" customHeight="1">
      <c r="A41" s="48" t="s">
        <v>875</v>
      </c>
      <c r="B41" s="49">
        <v>42318</v>
      </c>
      <c r="C41" s="48" t="s">
        <v>12</v>
      </c>
      <c r="D41" s="48" t="s">
        <v>243</v>
      </c>
      <c r="E41" s="48" t="s">
        <v>71</v>
      </c>
      <c r="F41" s="48" t="s">
        <v>399</v>
      </c>
      <c r="G41" s="48" t="s">
        <v>192</v>
      </c>
      <c r="H41" s="50" t="s">
        <v>549</v>
      </c>
      <c r="I41" s="51" t="str">
        <f t="shared" si="19"/>
        <v>ATENDIDO</v>
      </c>
      <c r="J41" s="61">
        <v>974</v>
      </c>
      <c r="K41" s="53">
        <v>42332</v>
      </c>
      <c r="L41" s="70">
        <v>42331</v>
      </c>
      <c r="M41" s="54">
        <v>1</v>
      </c>
      <c r="N41" s="55" t="s">
        <v>266</v>
      </c>
      <c r="O41" s="54">
        <f t="shared" si="20"/>
        <v>11</v>
      </c>
      <c r="P41" s="54">
        <f t="shared" si="3"/>
        <v>10</v>
      </c>
      <c r="Q41" s="54">
        <v>1</v>
      </c>
      <c r="R41" s="60" t="s">
        <v>267</v>
      </c>
      <c r="S41" s="30"/>
      <c r="T41" s="33"/>
      <c r="U41" s="29"/>
      <c r="V41" s="33"/>
      <c r="W41" s="30"/>
    </row>
    <row r="42" spans="1:23" s="10" customFormat="1" ht="41.25" customHeight="1">
      <c r="A42" s="48" t="s">
        <v>874</v>
      </c>
      <c r="B42" s="49">
        <v>42318</v>
      </c>
      <c r="C42" s="48" t="s">
        <v>12</v>
      </c>
      <c r="D42" s="48" t="s">
        <v>243</v>
      </c>
      <c r="E42" s="48" t="s">
        <v>71</v>
      </c>
      <c r="F42" s="48" t="s">
        <v>399</v>
      </c>
      <c r="G42" s="48" t="s">
        <v>192</v>
      </c>
      <c r="H42" s="50" t="s">
        <v>549</v>
      </c>
      <c r="I42" s="51" t="str">
        <f t="shared" si="19"/>
        <v>ATENDIDO</v>
      </c>
      <c r="J42" s="61">
        <v>973</v>
      </c>
      <c r="K42" s="53">
        <v>42332</v>
      </c>
      <c r="L42" s="70">
        <v>42331</v>
      </c>
      <c r="M42" s="54">
        <v>1</v>
      </c>
      <c r="N42" s="55" t="s">
        <v>266</v>
      </c>
      <c r="O42" s="54">
        <f t="shared" si="20"/>
        <v>11</v>
      </c>
      <c r="P42" s="54">
        <f t="shared" si="3"/>
        <v>10</v>
      </c>
      <c r="Q42" s="54">
        <v>1</v>
      </c>
      <c r="R42" s="60" t="s">
        <v>267</v>
      </c>
      <c r="S42" s="30"/>
      <c r="T42" s="33"/>
      <c r="U42" s="29"/>
      <c r="V42" s="33"/>
      <c r="W42" s="30"/>
    </row>
    <row r="43" spans="1:23" s="10" customFormat="1" ht="41.25" customHeight="1">
      <c r="A43" s="48" t="s">
        <v>873</v>
      </c>
      <c r="B43" s="49">
        <v>42318</v>
      </c>
      <c r="C43" s="48" t="s">
        <v>12</v>
      </c>
      <c r="D43" s="48" t="s">
        <v>243</v>
      </c>
      <c r="E43" s="48" t="s">
        <v>71</v>
      </c>
      <c r="F43" s="48" t="s">
        <v>399</v>
      </c>
      <c r="G43" s="48" t="s">
        <v>192</v>
      </c>
      <c r="H43" s="50" t="s">
        <v>549</v>
      </c>
      <c r="I43" s="51" t="str">
        <f t="shared" si="19"/>
        <v>ATENDIDO</v>
      </c>
      <c r="J43" s="61">
        <v>974</v>
      </c>
      <c r="K43" s="53">
        <v>42332</v>
      </c>
      <c r="L43" s="70">
        <v>42331</v>
      </c>
      <c r="M43" s="54">
        <v>1</v>
      </c>
      <c r="N43" s="55" t="s">
        <v>266</v>
      </c>
      <c r="O43" s="54">
        <f t="shared" si="20"/>
        <v>11</v>
      </c>
      <c r="P43" s="54">
        <f t="shared" si="3"/>
        <v>10</v>
      </c>
      <c r="Q43" s="54">
        <v>1</v>
      </c>
      <c r="R43" s="60" t="s">
        <v>267</v>
      </c>
      <c r="S43" s="30"/>
      <c r="T43" s="33"/>
      <c r="U43" s="29"/>
      <c r="V43" s="33"/>
      <c r="W43" s="30"/>
    </row>
    <row r="44" spans="1:23" s="10" customFormat="1" ht="41.25" customHeight="1">
      <c r="A44" s="48" t="s">
        <v>872</v>
      </c>
      <c r="B44" s="49">
        <v>42318</v>
      </c>
      <c r="C44" s="48" t="s">
        <v>12</v>
      </c>
      <c r="D44" s="48" t="s">
        <v>243</v>
      </c>
      <c r="E44" s="48" t="s">
        <v>71</v>
      </c>
      <c r="F44" s="48" t="s">
        <v>399</v>
      </c>
      <c r="G44" s="48" t="s">
        <v>192</v>
      </c>
      <c r="H44" s="50" t="s">
        <v>549</v>
      </c>
      <c r="I44" s="51" t="str">
        <f t="shared" si="19"/>
        <v>ATENDIDO</v>
      </c>
      <c r="J44" s="61">
        <v>973</v>
      </c>
      <c r="K44" s="53">
        <v>42332</v>
      </c>
      <c r="L44" s="70">
        <v>42331</v>
      </c>
      <c r="M44" s="54">
        <v>1</v>
      </c>
      <c r="N44" s="55" t="s">
        <v>266</v>
      </c>
      <c r="O44" s="54">
        <f t="shared" si="20"/>
        <v>11</v>
      </c>
      <c r="P44" s="54">
        <f t="shared" si="3"/>
        <v>10</v>
      </c>
      <c r="Q44" s="54">
        <v>1</v>
      </c>
      <c r="R44" s="60" t="s">
        <v>267</v>
      </c>
      <c r="S44" s="30"/>
      <c r="T44" s="33"/>
      <c r="U44" s="29"/>
      <c r="V44" s="33"/>
      <c r="W44" s="30"/>
    </row>
    <row r="45" spans="1:23" s="10" customFormat="1" ht="41.25" customHeight="1">
      <c r="A45" s="48" t="s">
        <v>871</v>
      </c>
      <c r="B45" s="49">
        <v>42318</v>
      </c>
      <c r="C45" s="48" t="s">
        <v>12</v>
      </c>
      <c r="D45" s="48" t="s">
        <v>243</v>
      </c>
      <c r="E45" s="48" t="s">
        <v>71</v>
      </c>
      <c r="F45" s="48" t="s">
        <v>399</v>
      </c>
      <c r="G45" s="48" t="s">
        <v>192</v>
      </c>
      <c r="H45" s="50" t="s">
        <v>549</v>
      </c>
      <c r="I45" s="51" t="str">
        <f t="shared" si="19"/>
        <v>ATENDIDO</v>
      </c>
      <c r="J45" s="61">
        <v>973</v>
      </c>
      <c r="K45" s="53">
        <v>42332</v>
      </c>
      <c r="L45" s="70">
        <v>42331</v>
      </c>
      <c r="M45" s="54">
        <v>1</v>
      </c>
      <c r="N45" s="55" t="s">
        <v>266</v>
      </c>
      <c r="O45" s="54">
        <f t="shared" si="20"/>
        <v>11</v>
      </c>
      <c r="P45" s="54">
        <f t="shared" ref="P45:P50" si="21">IF(L45=0,0,(NETWORKDAYS(B45,L45)))</f>
        <v>10</v>
      </c>
      <c r="Q45" s="54">
        <v>1</v>
      </c>
      <c r="R45" s="60" t="s">
        <v>267</v>
      </c>
      <c r="S45" s="30"/>
      <c r="T45" s="33"/>
      <c r="U45" s="29"/>
      <c r="V45" s="33"/>
      <c r="W45" s="30"/>
    </row>
    <row r="46" spans="1:23" s="10" customFormat="1" ht="41.25" customHeight="1">
      <c r="A46" s="48" t="s">
        <v>870</v>
      </c>
      <c r="B46" s="49">
        <v>42318</v>
      </c>
      <c r="C46" s="48" t="s">
        <v>12</v>
      </c>
      <c r="D46" s="48" t="s">
        <v>243</v>
      </c>
      <c r="E46" s="48" t="s">
        <v>71</v>
      </c>
      <c r="F46" s="48" t="s">
        <v>399</v>
      </c>
      <c r="G46" s="48" t="s">
        <v>192</v>
      </c>
      <c r="H46" s="50" t="s">
        <v>549</v>
      </c>
      <c r="I46" s="51" t="str">
        <f t="shared" si="19"/>
        <v>ATENDIDO</v>
      </c>
      <c r="J46" s="61">
        <v>973</v>
      </c>
      <c r="K46" s="53">
        <v>42332</v>
      </c>
      <c r="L46" s="70">
        <v>42331</v>
      </c>
      <c r="M46" s="54">
        <v>1</v>
      </c>
      <c r="N46" s="55" t="s">
        <v>266</v>
      </c>
      <c r="O46" s="54">
        <f t="shared" si="20"/>
        <v>11</v>
      </c>
      <c r="P46" s="54">
        <f t="shared" si="21"/>
        <v>10</v>
      </c>
      <c r="Q46" s="54">
        <v>1</v>
      </c>
      <c r="R46" s="60" t="s">
        <v>267</v>
      </c>
      <c r="S46" s="30"/>
      <c r="T46" s="33"/>
      <c r="U46" s="29"/>
      <c r="V46" s="33"/>
      <c r="W46" s="30"/>
    </row>
    <row r="47" spans="1:23" s="10" customFormat="1" ht="41.25" customHeight="1">
      <c r="A47" s="48" t="s">
        <v>868</v>
      </c>
      <c r="B47" s="49">
        <v>42314</v>
      </c>
      <c r="C47" s="48" t="s">
        <v>61</v>
      </c>
      <c r="D47" s="48" t="s">
        <v>243</v>
      </c>
      <c r="E47" s="48" t="s">
        <v>178</v>
      </c>
      <c r="F47" s="48" t="s">
        <v>869</v>
      </c>
      <c r="G47" s="48" t="s">
        <v>167</v>
      </c>
      <c r="H47" s="50" t="s">
        <v>549</v>
      </c>
      <c r="I47" s="51" t="str">
        <f t="shared" si="19"/>
        <v>ATENDIDO</v>
      </c>
      <c r="J47" s="61" t="s">
        <v>574</v>
      </c>
      <c r="K47" s="53">
        <v>42346</v>
      </c>
      <c r="L47" s="70">
        <v>42328</v>
      </c>
      <c r="M47" s="54">
        <v>1</v>
      </c>
      <c r="N47" s="55" t="s">
        <v>266</v>
      </c>
      <c r="O47" s="54">
        <f t="shared" si="20"/>
        <v>23</v>
      </c>
      <c r="P47" s="54">
        <f t="shared" si="21"/>
        <v>11</v>
      </c>
      <c r="Q47" s="54">
        <v>1</v>
      </c>
      <c r="R47" s="60" t="s">
        <v>267</v>
      </c>
      <c r="S47" s="30"/>
      <c r="T47" s="33"/>
      <c r="U47" s="29"/>
      <c r="V47" s="33"/>
      <c r="W47" s="30"/>
    </row>
    <row r="48" spans="1:23" s="10" customFormat="1" ht="41.25" customHeight="1">
      <c r="A48" s="48" t="s">
        <v>867</v>
      </c>
      <c r="B48" s="49">
        <v>42313</v>
      </c>
      <c r="C48" s="48" t="s">
        <v>12</v>
      </c>
      <c r="D48" s="48" t="s">
        <v>243</v>
      </c>
      <c r="E48" s="48" t="s">
        <v>302</v>
      </c>
      <c r="F48" s="48" t="s">
        <v>552</v>
      </c>
      <c r="G48" s="48" t="s">
        <v>192</v>
      </c>
      <c r="H48" s="50" t="s">
        <v>172</v>
      </c>
      <c r="I48" s="51" t="str">
        <f t="shared" si="19"/>
        <v>ATENDIDO</v>
      </c>
      <c r="J48" s="61">
        <v>947</v>
      </c>
      <c r="K48" s="53">
        <v>42321</v>
      </c>
      <c r="L48" s="53">
        <v>42321</v>
      </c>
      <c r="M48" s="54">
        <v>1</v>
      </c>
      <c r="N48" s="55" t="s">
        <v>266</v>
      </c>
      <c r="O48" s="54">
        <f t="shared" si="20"/>
        <v>7</v>
      </c>
      <c r="P48" s="54">
        <f t="shared" si="21"/>
        <v>7</v>
      </c>
      <c r="Q48" s="54">
        <v>1</v>
      </c>
      <c r="R48" s="60" t="s">
        <v>267</v>
      </c>
      <c r="S48" s="30"/>
      <c r="T48" s="33"/>
      <c r="U48" s="29"/>
      <c r="V48" s="33"/>
      <c r="W48" s="30"/>
    </row>
    <row r="49" spans="1:23" s="10" customFormat="1" ht="41.25" customHeight="1">
      <c r="A49" s="48" t="s">
        <v>866</v>
      </c>
      <c r="B49" s="49">
        <v>42313</v>
      </c>
      <c r="C49" s="48" t="s">
        <v>18</v>
      </c>
      <c r="D49" s="48" t="s">
        <v>243</v>
      </c>
      <c r="E49" s="48" t="s">
        <v>302</v>
      </c>
      <c r="F49" s="48" t="s">
        <v>552</v>
      </c>
      <c r="G49" s="48" t="s">
        <v>192</v>
      </c>
      <c r="H49" s="50" t="s">
        <v>172</v>
      </c>
      <c r="I49" s="51" t="str">
        <f t="shared" si="19"/>
        <v>ATENDIDO</v>
      </c>
      <c r="J49" s="61">
        <v>946</v>
      </c>
      <c r="K49" s="53">
        <v>42321</v>
      </c>
      <c r="L49" s="53">
        <v>42321</v>
      </c>
      <c r="M49" s="54">
        <v>1</v>
      </c>
      <c r="N49" s="55" t="s">
        <v>266</v>
      </c>
      <c r="O49" s="54">
        <f t="shared" si="20"/>
        <v>7</v>
      </c>
      <c r="P49" s="54">
        <f t="shared" si="21"/>
        <v>7</v>
      </c>
      <c r="Q49" s="54">
        <v>1</v>
      </c>
      <c r="R49" s="60" t="s">
        <v>267</v>
      </c>
      <c r="S49" s="30"/>
      <c r="T49" s="33"/>
      <c r="U49" s="29"/>
      <c r="V49" s="33"/>
      <c r="W49" s="30"/>
    </row>
    <row r="50" spans="1:23" s="10" customFormat="1" ht="41.25" customHeight="1">
      <c r="A50" s="48" t="s">
        <v>864</v>
      </c>
      <c r="B50" s="49">
        <v>42313</v>
      </c>
      <c r="C50" s="48" t="s">
        <v>13</v>
      </c>
      <c r="D50" s="48" t="s">
        <v>243</v>
      </c>
      <c r="E50" s="48" t="s">
        <v>73</v>
      </c>
      <c r="F50" s="48" t="s">
        <v>865</v>
      </c>
      <c r="G50" s="48" t="s">
        <v>192</v>
      </c>
      <c r="H50" s="50" t="s">
        <v>170</v>
      </c>
      <c r="I50" s="51" t="str">
        <f t="shared" si="19"/>
        <v>ATENDIDO</v>
      </c>
      <c r="J50" s="61">
        <v>972</v>
      </c>
      <c r="K50" s="53">
        <v>42328</v>
      </c>
      <c r="L50" s="53">
        <v>42314</v>
      </c>
      <c r="M50" s="54">
        <v>1</v>
      </c>
      <c r="N50" s="55" t="s">
        <v>266</v>
      </c>
      <c r="O50" s="54">
        <f t="shared" si="20"/>
        <v>12</v>
      </c>
      <c r="P50" s="54">
        <f t="shared" si="21"/>
        <v>2</v>
      </c>
      <c r="Q50" s="54">
        <v>1</v>
      </c>
      <c r="R50" s="60" t="s">
        <v>267</v>
      </c>
      <c r="S50" s="30"/>
      <c r="T50" s="33"/>
      <c r="U50" s="29"/>
      <c r="V50" s="33"/>
      <c r="W50" s="30"/>
    </row>
    <row r="51" spans="1:23" s="10" customFormat="1" ht="41.25" customHeight="1">
      <c r="A51" s="48" t="s">
        <v>863</v>
      </c>
      <c r="B51" s="49">
        <v>42307</v>
      </c>
      <c r="C51" s="48" t="s">
        <v>12</v>
      </c>
      <c r="D51" s="48" t="s">
        <v>243</v>
      </c>
      <c r="E51" s="48" t="s">
        <v>71</v>
      </c>
      <c r="F51" s="48" t="s">
        <v>399</v>
      </c>
      <c r="G51" s="48" t="s">
        <v>192</v>
      </c>
      <c r="H51" s="50" t="s">
        <v>549</v>
      </c>
      <c r="I51" s="51" t="str">
        <f t="shared" ref="I51:I68" si="22">IF(J51=0,"PENDIENTE",IF(J51="C","CORREO ENVIADO",IF(J51="OF","OFICIO EN FIRMA",IF(J51="PF","PLANOS EN FIRMA",IF(J51="OM","OFICIO MAQUINADO","ATENDIDO")))))</f>
        <v>ATENDIDO</v>
      </c>
      <c r="J51" s="61">
        <v>956</v>
      </c>
      <c r="K51" s="53">
        <v>42332</v>
      </c>
      <c r="L51" s="53">
        <v>42312</v>
      </c>
      <c r="M51" s="54">
        <v>1</v>
      </c>
      <c r="N51" s="55" t="s">
        <v>266</v>
      </c>
      <c r="O51" s="54">
        <f t="shared" ref="O51:O53" si="23">IF(K51=0,0,(NETWORKDAYS(B51,K51)))</f>
        <v>18</v>
      </c>
      <c r="P51" s="54">
        <f t="shared" ref="P51:P53" si="24">IF(L51=0,0,(NETWORKDAYS(B51,L51)))</f>
        <v>4</v>
      </c>
      <c r="Q51" s="54">
        <v>1</v>
      </c>
      <c r="R51" s="60" t="s">
        <v>267</v>
      </c>
      <c r="S51" s="30"/>
      <c r="T51" s="33"/>
      <c r="U51" s="29"/>
      <c r="V51" s="33"/>
      <c r="W51" s="30"/>
    </row>
    <row r="52" spans="1:23" s="10" customFormat="1" ht="41.25" customHeight="1">
      <c r="A52" s="48" t="s">
        <v>862</v>
      </c>
      <c r="B52" s="49">
        <v>42307</v>
      </c>
      <c r="C52" s="48" t="s">
        <v>12</v>
      </c>
      <c r="D52" s="48" t="s">
        <v>243</v>
      </c>
      <c r="E52" s="48" t="s">
        <v>71</v>
      </c>
      <c r="F52" s="48" t="s">
        <v>399</v>
      </c>
      <c r="G52" s="48" t="s">
        <v>192</v>
      </c>
      <c r="H52" s="50" t="s">
        <v>549</v>
      </c>
      <c r="I52" s="51" t="str">
        <f t="shared" si="22"/>
        <v>ATENDIDO</v>
      </c>
      <c r="J52" s="61">
        <v>956</v>
      </c>
      <c r="K52" s="53">
        <v>42332</v>
      </c>
      <c r="L52" s="53">
        <v>42312</v>
      </c>
      <c r="M52" s="54">
        <v>1</v>
      </c>
      <c r="N52" s="55" t="s">
        <v>266</v>
      </c>
      <c r="O52" s="54">
        <f t="shared" si="23"/>
        <v>18</v>
      </c>
      <c r="P52" s="54">
        <f t="shared" si="24"/>
        <v>4</v>
      </c>
      <c r="Q52" s="54">
        <v>1</v>
      </c>
      <c r="R52" s="60" t="s">
        <v>267</v>
      </c>
      <c r="S52" s="30"/>
      <c r="T52" s="33"/>
      <c r="U52" s="29"/>
      <c r="V52" s="33"/>
      <c r="W52" s="30"/>
    </row>
    <row r="53" spans="1:23" s="10" customFormat="1" ht="41.25" customHeight="1">
      <c r="A53" s="48" t="s">
        <v>861</v>
      </c>
      <c r="B53" s="49">
        <v>42307</v>
      </c>
      <c r="C53" s="48" t="s">
        <v>12</v>
      </c>
      <c r="D53" s="48" t="s">
        <v>243</v>
      </c>
      <c r="E53" s="48" t="s">
        <v>71</v>
      </c>
      <c r="F53" s="48" t="s">
        <v>399</v>
      </c>
      <c r="G53" s="48" t="s">
        <v>192</v>
      </c>
      <c r="H53" s="50" t="s">
        <v>549</v>
      </c>
      <c r="I53" s="51" t="str">
        <f t="shared" si="22"/>
        <v>ATENDIDO</v>
      </c>
      <c r="J53" s="61">
        <v>956</v>
      </c>
      <c r="K53" s="53">
        <v>42332</v>
      </c>
      <c r="L53" s="53">
        <v>42312</v>
      </c>
      <c r="M53" s="54">
        <v>1</v>
      </c>
      <c r="N53" s="55" t="s">
        <v>266</v>
      </c>
      <c r="O53" s="54">
        <f t="shared" si="23"/>
        <v>18</v>
      </c>
      <c r="P53" s="54">
        <f t="shared" si="24"/>
        <v>4</v>
      </c>
      <c r="Q53" s="54">
        <v>1</v>
      </c>
      <c r="R53" s="60" t="s">
        <v>267</v>
      </c>
      <c r="S53" s="30"/>
      <c r="T53" s="33"/>
      <c r="U53" s="29"/>
      <c r="V53" s="33"/>
      <c r="W53" s="30"/>
    </row>
    <row r="54" spans="1:23" s="10" customFormat="1" ht="41.25" customHeight="1">
      <c r="A54" s="48" t="s">
        <v>860</v>
      </c>
      <c r="B54" s="49">
        <v>42307</v>
      </c>
      <c r="C54" s="48" t="s">
        <v>12</v>
      </c>
      <c r="D54" s="48" t="s">
        <v>243</v>
      </c>
      <c r="E54" s="48" t="s">
        <v>71</v>
      </c>
      <c r="F54" s="48" t="s">
        <v>399</v>
      </c>
      <c r="G54" s="48" t="s">
        <v>192</v>
      </c>
      <c r="H54" s="50" t="s">
        <v>549</v>
      </c>
      <c r="I54" s="51" t="str">
        <f t="shared" si="22"/>
        <v>ATENDIDO</v>
      </c>
      <c r="J54" s="61">
        <v>956</v>
      </c>
      <c r="K54" s="53">
        <v>42332</v>
      </c>
      <c r="L54" s="53">
        <v>42312</v>
      </c>
      <c r="M54" s="54">
        <v>1</v>
      </c>
      <c r="N54" s="55" t="s">
        <v>266</v>
      </c>
      <c r="O54" s="54">
        <f t="shared" ref="O54:O68" si="25">IF(K54=0,0,(NETWORKDAYS(B54,K54)))</f>
        <v>18</v>
      </c>
      <c r="P54" s="54">
        <f t="shared" ref="P54:P68" si="26">IF(L54=0,0,(NETWORKDAYS(B54,L54)))</f>
        <v>4</v>
      </c>
      <c r="Q54" s="54">
        <v>1</v>
      </c>
      <c r="R54" s="60" t="s">
        <v>267</v>
      </c>
      <c r="S54" s="30"/>
      <c r="T54" s="33"/>
      <c r="U54" s="29"/>
      <c r="V54" s="33"/>
      <c r="W54" s="30"/>
    </row>
    <row r="55" spans="1:23" s="10" customFormat="1" ht="41.25" customHeight="1">
      <c r="A55" s="48" t="s">
        <v>859</v>
      </c>
      <c r="B55" s="49">
        <v>42307</v>
      </c>
      <c r="C55" s="48" t="s">
        <v>12</v>
      </c>
      <c r="D55" s="48" t="s">
        <v>243</v>
      </c>
      <c r="E55" s="48" t="s">
        <v>71</v>
      </c>
      <c r="F55" s="48" t="s">
        <v>399</v>
      </c>
      <c r="G55" s="48" t="s">
        <v>192</v>
      </c>
      <c r="H55" s="50" t="s">
        <v>549</v>
      </c>
      <c r="I55" s="51" t="str">
        <f t="shared" si="22"/>
        <v>ATENDIDO</v>
      </c>
      <c r="J55" s="61">
        <v>956</v>
      </c>
      <c r="K55" s="53">
        <v>42332</v>
      </c>
      <c r="L55" s="53">
        <v>42312</v>
      </c>
      <c r="M55" s="54">
        <v>1</v>
      </c>
      <c r="N55" s="55" t="s">
        <v>266</v>
      </c>
      <c r="O55" s="54">
        <f t="shared" si="25"/>
        <v>18</v>
      </c>
      <c r="P55" s="54">
        <f t="shared" si="26"/>
        <v>4</v>
      </c>
      <c r="Q55" s="54">
        <v>1</v>
      </c>
      <c r="R55" s="60" t="s">
        <v>267</v>
      </c>
      <c r="S55" s="30"/>
      <c r="T55" s="33"/>
      <c r="U55" s="29"/>
      <c r="V55" s="33"/>
      <c r="W55" s="30"/>
    </row>
    <row r="56" spans="1:23" s="10" customFormat="1" ht="41.25" customHeight="1">
      <c r="A56" s="48" t="s">
        <v>858</v>
      </c>
      <c r="B56" s="49">
        <v>42307</v>
      </c>
      <c r="C56" s="48" t="s">
        <v>12</v>
      </c>
      <c r="D56" s="48" t="s">
        <v>243</v>
      </c>
      <c r="E56" s="48" t="s">
        <v>71</v>
      </c>
      <c r="F56" s="48" t="s">
        <v>399</v>
      </c>
      <c r="G56" s="48" t="s">
        <v>192</v>
      </c>
      <c r="H56" s="50" t="s">
        <v>549</v>
      </c>
      <c r="I56" s="51" t="str">
        <f t="shared" si="22"/>
        <v>ATENDIDO</v>
      </c>
      <c r="J56" s="61">
        <v>957</v>
      </c>
      <c r="K56" s="53">
        <v>42332</v>
      </c>
      <c r="L56" s="53">
        <v>42312</v>
      </c>
      <c r="M56" s="54">
        <v>1</v>
      </c>
      <c r="N56" s="55" t="s">
        <v>266</v>
      </c>
      <c r="O56" s="54">
        <f t="shared" si="25"/>
        <v>18</v>
      </c>
      <c r="P56" s="54">
        <f t="shared" si="26"/>
        <v>4</v>
      </c>
      <c r="Q56" s="54">
        <v>1</v>
      </c>
      <c r="R56" s="60" t="s">
        <v>267</v>
      </c>
      <c r="S56" s="30"/>
      <c r="T56" s="33"/>
      <c r="U56" s="29"/>
      <c r="V56" s="33"/>
      <c r="W56" s="30"/>
    </row>
    <row r="57" spans="1:23" s="10" customFormat="1" ht="41.25" customHeight="1">
      <c r="A57" s="48" t="s">
        <v>857</v>
      </c>
      <c r="B57" s="49">
        <v>42307</v>
      </c>
      <c r="C57" s="48" t="s">
        <v>12</v>
      </c>
      <c r="D57" s="48" t="s">
        <v>243</v>
      </c>
      <c r="E57" s="48" t="s">
        <v>71</v>
      </c>
      <c r="F57" s="48" t="s">
        <v>399</v>
      </c>
      <c r="G57" s="48" t="s">
        <v>192</v>
      </c>
      <c r="H57" s="50" t="s">
        <v>549</v>
      </c>
      <c r="I57" s="51" t="str">
        <f t="shared" si="22"/>
        <v>ATENDIDO</v>
      </c>
      <c r="J57" s="61">
        <v>957</v>
      </c>
      <c r="K57" s="53">
        <v>42332</v>
      </c>
      <c r="L57" s="53">
        <v>42312</v>
      </c>
      <c r="M57" s="54">
        <v>1</v>
      </c>
      <c r="N57" s="55" t="s">
        <v>266</v>
      </c>
      <c r="O57" s="54">
        <f t="shared" si="25"/>
        <v>18</v>
      </c>
      <c r="P57" s="54">
        <f t="shared" si="26"/>
        <v>4</v>
      </c>
      <c r="Q57" s="54">
        <v>1</v>
      </c>
      <c r="R57" s="60" t="s">
        <v>267</v>
      </c>
      <c r="S57" s="30"/>
      <c r="T57" s="33"/>
      <c r="U57" s="29"/>
      <c r="V57" s="33"/>
      <c r="W57" s="30"/>
    </row>
    <row r="58" spans="1:23" s="10" customFormat="1" ht="41.25" customHeight="1">
      <c r="A58" s="48" t="s">
        <v>856</v>
      </c>
      <c r="B58" s="49">
        <v>42307</v>
      </c>
      <c r="C58" s="48" t="s">
        <v>12</v>
      </c>
      <c r="D58" s="48" t="s">
        <v>243</v>
      </c>
      <c r="E58" s="48" t="s">
        <v>71</v>
      </c>
      <c r="F58" s="48" t="s">
        <v>399</v>
      </c>
      <c r="G58" s="48" t="s">
        <v>192</v>
      </c>
      <c r="H58" s="50" t="s">
        <v>549</v>
      </c>
      <c r="I58" s="51" t="str">
        <f t="shared" si="22"/>
        <v>ATENDIDO</v>
      </c>
      <c r="J58" s="61">
        <v>958</v>
      </c>
      <c r="K58" s="53">
        <v>42332</v>
      </c>
      <c r="L58" s="53">
        <v>42312</v>
      </c>
      <c r="M58" s="54">
        <v>1</v>
      </c>
      <c r="N58" s="55" t="s">
        <v>266</v>
      </c>
      <c r="O58" s="54">
        <f t="shared" si="25"/>
        <v>18</v>
      </c>
      <c r="P58" s="54">
        <f t="shared" si="26"/>
        <v>4</v>
      </c>
      <c r="Q58" s="54">
        <v>1</v>
      </c>
      <c r="R58" s="60" t="s">
        <v>267</v>
      </c>
      <c r="S58" s="30"/>
      <c r="T58" s="33"/>
      <c r="U58" s="29"/>
      <c r="V58" s="33"/>
      <c r="W58" s="30"/>
    </row>
    <row r="59" spans="1:23" s="10" customFormat="1" ht="41.25" customHeight="1">
      <c r="A59" s="48" t="s">
        <v>855</v>
      </c>
      <c r="B59" s="49">
        <v>42307</v>
      </c>
      <c r="C59" s="48" t="s">
        <v>12</v>
      </c>
      <c r="D59" s="48" t="s">
        <v>243</v>
      </c>
      <c r="E59" s="48" t="s">
        <v>71</v>
      </c>
      <c r="F59" s="48" t="s">
        <v>399</v>
      </c>
      <c r="G59" s="48" t="s">
        <v>192</v>
      </c>
      <c r="H59" s="50" t="s">
        <v>549</v>
      </c>
      <c r="I59" s="51" t="str">
        <f t="shared" si="22"/>
        <v>ATENDIDO</v>
      </c>
      <c r="J59" s="61">
        <v>958</v>
      </c>
      <c r="K59" s="53">
        <v>42332</v>
      </c>
      <c r="L59" s="53">
        <v>42312</v>
      </c>
      <c r="M59" s="54">
        <v>1</v>
      </c>
      <c r="N59" s="55" t="s">
        <v>266</v>
      </c>
      <c r="O59" s="54">
        <f t="shared" si="25"/>
        <v>18</v>
      </c>
      <c r="P59" s="54">
        <f t="shared" si="26"/>
        <v>4</v>
      </c>
      <c r="Q59" s="54">
        <v>1</v>
      </c>
      <c r="R59" s="60" t="s">
        <v>267</v>
      </c>
      <c r="S59" s="30"/>
      <c r="T59" s="33"/>
      <c r="U59" s="29"/>
      <c r="V59" s="33"/>
      <c r="W59" s="30"/>
    </row>
    <row r="60" spans="1:23" s="10" customFormat="1" ht="41.25" customHeight="1">
      <c r="A60" s="48" t="s">
        <v>854</v>
      </c>
      <c r="B60" s="49">
        <v>42307</v>
      </c>
      <c r="C60" s="48" t="s">
        <v>12</v>
      </c>
      <c r="D60" s="48" t="s">
        <v>243</v>
      </c>
      <c r="E60" s="48" t="s">
        <v>71</v>
      </c>
      <c r="F60" s="48" t="s">
        <v>399</v>
      </c>
      <c r="G60" s="48" t="s">
        <v>192</v>
      </c>
      <c r="H60" s="50" t="s">
        <v>549</v>
      </c>
      <c r="I60" s="51" t="str">
        <f t="shared" si="22"/>
        <v>ATENDIDO</v>
      </c>
      <c r="J60" s="61">
        <v>958</v>
      </c>
      <c r="K60" s="53">
        <v>42332</v>
      </c>
      <c r="L60" s="53">
        <v>42312</v>
      </c>
      <c r="M60" s="54">
        <v>1</v>
      </c>
      <c r="N60" s="55" t="s">
        <v>266</v>
      </c>
      <c r="O60" s="54">
        <f t="shared" si="25"/>
        <v>18</v>
      </c>
      <c r="P60" s="54">
        <f t="shared" si="26"/>
        <v>4</v>
      </c>
      <c r="Q60" s="54">
        <v>1</v>
      </c>
      <c r="R60" s="60" t="s">
        <v>267</v>
      </c>
      <c r="S60" s="30"/>
      <c r="T60" s="33"/>
      <c r="U60" s="29"/>
      <c r="V60" s="33"/>
      <c r="W60" s="30"/>
    </row>
    <row r="61" spans="1:23" s="10" customFormat="1" ht="41.25" customHeight="1">
      <c r="A61" s="48" t="s">
        <v>853</v>
      </c>
      <c r="B61" s="49">
        <v>42307</v>
      </c>
      <c r="C61" s="48" t="s">
        <v>12</v>
      </c>
      <c r="D61" s="48" t="s">
        <v>243</v>
      </c>
      <c r="E61" s="48" t="s">
        <v>71</v>
      </c>
      <c r="F61" s="48" t="s">
        <v>399</v>
      </c>
      <c r="G61" s="48" t="s">
        <v>192</v>
      </c>
      <c r="H61" s="50" t="s">
        <v>549</v>
      </c>
      <c r="I61" s="51" t="str">
        <f t="shared" si="22"/>
        <v>ATENDIDO</v>
      </c>
      <c r="J61" s="61">
        <v>958</v>
      </c>
      <c r="K61" s="53">
        <v>42332</v>
      </c>
      <c r="L61" s="53">
        <v>42312</v>
      </c>
      <c r="M61" s="54">
        <v>1</v>
      </c>
      <c r="N61" s="55" t="s">
        <v>266</v>
      </c>
      <c r="O61" s="54">
        <f t="shared" si="25"/>
        <v>18</v>
      </c>
      <c r="P61" s="54">
        <f t="shared" si="26"/>
        <v>4</v>
      </c>
      <c r="Q61" s="54">
        <v>1</v>
      </c>
      <c r="R61" s="60" t="s">
        <v>267</v>
      </c>
      <c r="S61" s="30"/>
      <c r="T61" s="33"/>
      <c r="U61" s="29"/>
      <c r="V61" s="33"/>
      <c r="W61" s="30"/>
    </row>
    <row r="62" spans="1:23" s="10" customFormat="1" ht="41.25" customHeight="1">
      <c r="A62" s="48" t="s">
        <v>852</v>
      </c>
      <c r="B62" s="49">
        <v>42307</v>
      </c>
      <c r="C62" s="48" t="s">
        <v>12</v>
      </c>
      <c r="D62" s="48" t="s">
        <v>243</v>
      </c>
      <c r="E62" s="48" t="s">
        <v>71</v>
      </c>
      <c r="F62" s="48" t="s">
        <v>399</v>
      </c>
      <c r="G62" s="48" t="s">
        <v>192</v>
      </c>
      <c r="H62" s="50" t="s">
        <v>549</v>
      </c>
      <c r="I62" s="51" t="str">
        <f t="shared" si="22"/>
        <v>ATENDIDO</v>
      </c>
      <c r="J62" s="61">
        <v>958</v>
      </c>
      <c r="K62" s="53">
        <v>42332</v>
      </c>
      <c r="L62" s="53">
        <v>42312</v>
      </c>
      <c r="M62" s="54">
        <v>1</v>
      </c>
      <c r="N62" s="55" t="s">
        <v>266</v>
      </c>
      <c r="O62" s="54">
        <f t="shared" si="25"/>
        <v>18</v>
      </c>
      <c r="P62" s="54">
        <f t="shared" si="26"/>
        <v>4</v>
      </c>
      <c r="Q62" s="54">
        <v>1</v>
      </c>
      <c r="R62" s="60" t="s">
        <v>267</v>
      </c>
      <c r="S62" s="30"/>
      <c r="T62" s="33"/>
      <c r="U62" s="29"/>
      <c r="V62" s="33"/>
      <c r="W62" s="30"/>
    </row>
    <row r="63" spans="1:23" s="10" customFormat="1" ht="41.25" customHeight="1">
      <c r="A63" s="48" t="s">
        <v>851</v>
      </c>
      <c r="B63" s="49">
        <v>42307</v>
      </c>
      <c r="C63" s="48" t="s">
        <v>12</v>
      </c>
      <c r="D63" s="48" t="s">
        <v>243</v>
      </c>
      <c r="E63" s="48" t="s">
        <v>71</v>
      </c>
      <c r="F63" s="48" t="s">
        <v>399</v>
      </c>
      <c r="G63" s="48" t="s">
        <v>192</v>
      </c>
      <c r="H63" s="50" t="s">
        <v>549</v>
      </c>
      <c r="I63" s="51" t="str">
        <f t="shared" si="22"/>
        <v>ATENDIDO</v>
      </c>
      <c r="J63" s="61">
        <v>955</v>
      </c>
      <c r="K63" s="53">
        <v>42332</v>
      </c>
      <c r="L63" s="53">
        <v>42312</v>
      </c>
      <c r="M63" s="54">
        <v>1</v>
      </c>
      <c r="N63" s="55" t="s">
        <v>266</v>
      </c>
      <c r="O63" s="54">
        <f t="shared" si="25"/>
        <v>18</v>
      </c>
      <c r="P63" s="54">
        <f t="shared" si="26"/>
        <v>4</v>
      </c>
      <c r="Q63" s="54">
        <v>1</v>
      </c>
      <c r="R63" s="60" t="s">
        <v>267</v>
      </c>
      <c r="S63" s="30"/>
      <c r="T63" s="33"/>
      <c r="U63" s="29"/>
      <c r="V63" s="33"/>
      <c r="W63" s="30"/>
    </row>
    <row r="64" spans="1:23" s="10" customFormat="1" ht="41.25" customHeight="1">
      <c r="A64" s="48" t="s">
        <v>850</v>
      </c>
      <c r="B64" s="49">
        <v>42307</v>
      </c>
      <c r="C64" s="48" t="s">
        <v>12</v>
      </c>
      <c r="D64" s="48" t="s">
        <v>243</v>
      </c>
      <c r="E64" s="48" t="s">
        <v>71</v>
      </c>
      <c r="F64" s="48" t="s">
        <v>399</v>
      </c>
      <c r="G64" s="48" t="s">
        <v>192</v>
      </c>
      <c r="H64" s="50" t="s">
        <v>549</v>
      </c>
      <c r="I64" s="51" t="str">
        <f t="shared" si="22"/>
        <v>ATENDIDO</v>
      </c>
      <c r="J64" s="61">
        <v>955</v>
      </c>
      <c r="K64" s="53">
        <v>42332</v>
      </c>
      <c r="L64" s="53">
        <v>42312</v>
      </c>
      <c r="M64" s="54">
        <v>1</v>
      </c>
      <c r="N64" s="55" t="s">
        <v>266</v>
      </c>
      <c r="O64" s="54">
        <f t="shared" si="25"/>
        <v>18</v>
      </c>
      <c r="P64" s="54">
        <f t="shared" si="26"/>
        <v>4</v>
      </c>
      <c r="Q64" s="54">
        <v>1</v>
      </c>
      <c r="R64" s="60" t="s">
        <v>267</v>
      </c>
      <c r="S64" s="30"/>
      <c r="T64" s="33"/>
      <c r="U64" s="29"/>
      <c r="V64" s="33"/>
      <c r="W64" s="30"/>
    </row>
    <row r="65" spans="1:23" s="10" customFormat="1" ht="41.25" customHeight="1">
      <c r="A65" s="48" t="s">
        <v>849</v>
      </c>
      <c r="B65" s="49">
        <v>42307</v>
      </c>
      <c r="C65" s="48" t="s">
        <v>12</v>
      </c>
      <c r="D65" s="48" t="s">
        <v>243</v>
      </c>
      <c r="E65" s="48" t="s">
        <v>71</v>
      </c>
      <c r="F65" s="48" t="s">
        <v>399</v>
      </c>
      <c r="G65" s="48" t="s">
        <v>192</v>
      </c>
      <c r="H65" s="50" t="s">
        <v>549</v>
      </c>
      <c r="I65" s="51" t="str">
        <f t="shared" si="22"/>
        <v>ATENDIDO</v>
      </c>
      <c r="J65" s="52" t="s">
        <v>606</v>
      </c>
      <c r="K65" s="52" t="s">
        <v>917</v>
      </c>
      <c r="L65" s="53">
        <v>42312</v>
      </c>
      <c r="M65" s="54">
        <v>1</v>
      </c>
      <c r="N65" s="55" t="s">
        <v>266</v>
      </c>
      <c r="O65" s="54" t="e">
        <f t="shared" si="25"/>
        <v>#VALUE!</v>
      </c>
      <c r="P65" s="54">
        <f t="shared" si="26"/>
        <v>4</v>
      </c>
      <c r="Q65" s="54">
        <v>1</v>
      </c>
      <c r="R65" s="60" t="s">
        <v>267</v>
      </c>
      <c r="S65" s="30"/>
      <c r="T65" s="33"/>
      <c r="U65" s="29"/>
      <c r="V65" s="33"/>
      <c r="W65" s="30"/>
    </row>
    <row r="66" spans="1:23" s="10" customFormat="1" ht="41.25" customHeight="1">
      <c r="A66" s="48" t="s">
        <v>849</v>
      </c>
      <c r="B66" s="49">
        <v>42306</v>
      </c>
      <c r="C66" s="48" t="s">
        <v>69</v>
      </c>
      <c r="D66" s="48" t="s">
        <v>243</v>
      </c>
      <c r="E66" s="48" t="s">
        <v>121</v>
      </c>
      <c r="F66" s="48" t="s">
        <v>543</v>
      </c>
      <c r="G66" s="48" t="s">
        <v>192</v>
      </c>
      <c r="H66" s="50" t="s">
        <v>549</v>
      </c>
      <c r="I66" s="51" t="str">
        <f t="shared" si="22"/>
        <v>ATENDIDO</v>
      </c>
      <c r="J66" s="53" t="s">
        <v>893</v>
      </c>
      <c r="K66" s="53"/>
      <c r="L66" s="53">
        <v>42307</v>
      </c>
      <c r="M66" s="54">
        <v>1</v>
      </c>
      <c r="N66" s="55" t="s">
        <v>266</v>
      </c>
      <c r="O66" s="54">
        <f t="shared" si="25"/>
        <v>0</v>
      </c>
      <c r="P66" s="54">
        <f t="shared" si="26"/>
        <v>2</v>
      </c>
      <c r="Q66" s="54">
        <v>1</v>
      </c>
      <c r="R66" s="60" t="s">
        <v>267</v>
      </c>
      <c r="S66" s="30"/>
      <c r="T66" s="33"/>
      <c r="U66" s="29"/>
      <c r="V66" s="33"/>
      <c r="W66" s="30"/>
    </row>
    <row r="67" spans="1:23" s="10" customFormat="1" ht="41.25" customHeight="1">
      <c r="A67" s="48" t="s">
        <v>848</v>
      </c>
      <c r="B67" s="49">
        <v>42306</v>
      </c>
      <c r="C67" s="48" t="s">
        <v>16</v>
      </c>
      <c r="D67" s="48" t="s">
        <v>243</v>
      </c>
      <c r="E67" s="48" t="s">
        <v>301</v>
      </c>
      <c r="F67" s="48" t="s">
        <v>396</v>
      </c>
      <c r="G67" s="48" t="s">
        <v>192</v>
      </c>
      <c r="H67" s="50" t="s">
        <v>172</v>
      </c>
      <c r="I67" s="51" t="str">
        <f t="shared" si="22"/>
        <v>ATENDIDO</v>
      </c>
      <c r="J67" s="61">
        <v>953</v>
      </c>
      <c r="K67" s="53">
        <v>42332</v>
      </c>
      <c r="L67" s="53">
        <v>42312</v>
      </c>
      <c r="M67" s="54">
        <v>1</v>
      </c>
      <c r="N67" s="55" t="s">
        <v>266</v>
      </c>
      <c r="O67" s="54">
        <f t="shared" si="25"/>
        <v>19</v>
      </c>
      <c r="P67" s="54">
        <f t="shared" si="26"/>
        <v>5</v>
      </c>
      <c r="Q67" s="54">
        <v>1</v>
      </c>
      <c r="R67" s="60" t="s">
        <v>267</v>
      </c>
      <c r="S67" s="30"/>
      <c r="T67" s="33"/>
      <c r="U67" s="29"/>
      <c r="V67" s="33"/>
      <c r="W67" s="30"/>
    </row>
    <row r="68" spans="1:23" s="10" customFormat="1" ht="41.25" customHeight="1">
      <c r="A68" s="48" t="s">
        <v>847</v>
      </c>
      <c r="B68" s="49">
        <v>42306</v>
      </c>
      <c r="C68" s="48" t="s">
        <v>18</v>
      </c>
      <c r="D68" s="48" t="s">
        <v>243</v>
      </c>
      <c r="E68" s="48" t="s">
        <v>301</v>
      </c>
      <c r="F68" s="48" t="s">
        <v>396</v>
      </c>
      <c r="G68" s="48" t="s">
        <v>192</v>
      </c>
      <c r="H68" s="50" t="s">
        <v>172</v>
      </c>
      <c r="I68" s="51" t="str">
        <f t="shared" si="22"/>
        <v>ATENDIDO</v>
      </c>
      <c r="J68" s="61">
        <v>952</v>
      </c>
      <c r="K68" s="53">
        <v>42321</v>
      </c>
      <c r="L68" s="53">
        <v>42312</v>
      </c>
      <c r="M68" s="54">
        <v>1</v>
      </c>
      <c r="N68" s="55" t="s">
        <v>266</v>
      </c>
      <c r="O68" s="54">
        <f t="shared" si="25"/>
        <v>12</v>
      </c>
      <c r="P68" s="54">
        <f t="shared" si="26"/>
        <v>5</v>
      </c>
      <c r="Q68" s="54">
        <v>1</v>
      </c>
      <c r="R68" s="60" t="s">
        <v>267</v>
      </c>
      <c r="S68" s="30"/>
      <c r="T68" s="33"/>
      <c r="U68" s="29"/>
      <c r="V68" s="33"/>
      <c r="W68" s="30"/>
    </row>
    <row r="69" spans="1:23" s="10" customFormat="1" ht="41.25" customHeight="1">
      <c r="A69" s="48" t="s">
        <v>846</v>
      </c>
      <c r="B69" s="49">
        <v>42300</v>
      </c>
      <c r="C69" s="48" t="s">
        <v>31</v>
      </c>
      <c r="D69" s="48" t="s">
        <v>243</v>
      </c>
      <c r="E69" s="48" t="s">
        <v>95</v>
      </c>
      <c r="F69" s="48" t="s">
        <v>396</v>
      </c>
      <c r="G69" s="48" t="s">
        <v>140</v>
      </c>
      <c r="H69" s="50" t="s">
        <v>549</v>
      </c>
      <c r="I69" s="51" t="str">
        <f t="shared" ref="I69:I74" si="27">IF(J69=0,"PENDIENTE",IF(J69="C","CORREO ENVIADO",IF(J69="OF","OFICIO EN FIRMA",IF(J69="PF","PLANOS EN FIRMA",IF(J69="OM","OFICIO MAQUINADO","ATENDIDO")))))</f>
        <v>ATENDIDO</v>
      </c>
      <c r="J69" s="61">
        <v>917</v>
      </c>
      <c r="K69" s="53">
        <v>42306</v>
      </c>
      <c r="L69" s="53">
        <v>42303</v>
      </c>
      <c r="M69" s="54">
        <v>1</v>
      </c>
      <c r="N69" s="55" t="s">
        <v>266</v>
      </c>
      <c r="O69" s="54">
        <f t="shared" ref="O69" si="28">IF(K69=0,0,(NETWORKDAYS(B69,K69)))</f>
        <v>5</v>
      </c>
      <c r="P69" s="54">
        <f t="shared" ref="P69" si="29">IF(L69=0,0,(NETWORKDAYS(B69,L69)))</f>
        <v>2</v>
      </c>
      <c r="Q69" s="54">
        <v>1</v>
      </c>
      <c r="R69" s="60" t="s">
        <v>267</v>
      </c>
      <c r="S69" s="30"/>
      <c r="T69" s="33"/>
      <c r="U69" s="29"/>
      <c r="V69" s="33"/>
      <c r="W69" s="30"/>
    </row>
    <row r="70" spans="1:23" s="10" customFormat="1" ht="41.25" customHeight="1">
      <c r="A70" s="48" t="s">
        <v>843</v>
      </c>
      <c r="B70" s="49">
        <v>42299</v>
      </c>
      <c r="C70" s="48" t="s">
        <v>25</v>
      </c>
      <c r="D70" s="48" t="s">
        <v>243</v>
      </c>
      <c r="E70" s="48" t="s">
        <v>112</v>
      </c>
      <c r="F70" s="48" t="s">
        <v>698</v>
      </c>
      <c r="G70" s="48" t="s">
        <v>192</v>
      </c>
      <c r="H70" s="50" t="s">
        <v>170</v>
      </c>
      <c r="I70" s="51" t="str">
        <f t="shared" si="27"/>
        <v>ATENDIDO</v>
      </c>
      <c r="J70" s="61">
        <v>929</v>
      </c>
      <c r="K70" s="53">
        <v>42318</v>
      </c>
      <c r="L70" s="53">
        <v>42304</v>
      </c>
      <c r="M70" s="54">
        <v>1</v>
      </c>
      <c r="N70" s="55" t="s">
        <v>266</v>
      </c>
      <c r="O70" s="54">
        <f t="shared" ref="O70" si="30">IF(K70=0,0,(NETWORKDAYS(B70,K70)))</f>
        <v>14</v>
      </c>
      <c r="P70" s="54">
        <f t="shared" ref="P70" si="31">IF(L70=0,0,(NETWORKDAYS(B70,L70)))</f>
        <v>4</v>
      </c>
      <c r="Q70" s="54">
        <v>1</v>
      </c>
      <c r="R70" s="60" t="s">
        <v>267</v>
      </c>
      <c r="S70" s="30"/>
      <c r="T70" s="33"/>
      <c r="U70" s="29"/>
      <c r="V70" s="33"/>
      <c r="W70" s="30"/>
    </row>
    <row r="71" spans="1:23" s="10" customFormat="1" ht="41.25" customHeight="1">
      <c r="A71" s="48" t="s">
        <v>842</v>
      </c>
      <c r="B71" s="49">
        <v>42298</v>
      </c>
      <c r="C71" s="48" t="s">
        <v>22</v>
      </c>
      <c r="D71" s="48" t="s">
        <v>243</v>
      </c>
      <c r="E71" s="48" t="s">
        <v>86</v>
      </c>
      <c r="F71" s="48" t="s">
        <v>526</v>
      </c>
      <c r="G71" s="48" t="s">
        <v>145</v>
      </c>
      <c r="H71" s="50" t="s">
        <v>170</v>
      </c>
      <c r="I71" s="51" t="str">
        <f t="shared" si="27"/>
        <v>ATENDIDO</v>
      </c>
      <c r="J71" s="61">
        <v>903</v>
      </c>
      <c r="K71" s="53">
        <v>42300</v>
      </c>
      <c r="L71" s="53">
        <v>42300</v>
      </c>
      <c r="M71" s="54">
        <v>1</v>
      </c>
      <c r="N71" s="55" t="s">
        <v>266</v>
      </c>
      <c r="O71" s="54">
        <f t="shared" ref="O71" si="32">IF(K71=0,0,(NETWORKDAYS(B71,K71)))</f>
        <v>3</v>
      </c>
      <c r="P71" s="54">
        <f t="shared" ref="P71" si="33">IF(L71=0,0,(NETWORKDAYS(B71,L71)))</f>
        <v>3</v>
      </c>
      <c r="Q71" s="54">
        <v>1</v>
      </c>
      <c r="R71" s="60" t="s">
        <v>267</v>
      </c>
      <c r="S71" s="30"/>
      <c r="T71" s="33"/>
      <c r="U71" s="29"/>
      <c r="V71" s="33"/>
      <c r="W71" s="30"/>
    </row>
    <row r="72" spans="1:23" s="10" customFormat="1" ht="41.25" customHeight="1">
      <c r="A72" s="48" t="s">
        <v>839</v>
      </c>
      <c r="B72" s="49">
        <v>42297</v>
      </c>
      <c r="C72" s="48" t="s">
        <v>58</v>
      </c>
      <c r="D72" s="48" t="s">
        <v>243</v>
      </c>
      <c r="E72" s="48" t="s">
        <v>840</v>
      </c>
      <c r="F72" s="48" t="s">
        <v>841</v>
      </c>
      <c r="G72" s="48" t="s">
        <v>161</v>
      </c>
      <c r="H72" s="50" t="s">
        <v>170</v>
      </c>
      <c r="I72" s="51" t="str">
        <f t="shared" si="27"/>
        <v>ATENDIDO</v>
      </c>
      <c r="J72" s="61">
        <v>901</v>
      </c>
      <c r="K72" s="53">
        <v>42303</v>
      </c>
      <c r="L72" s="53">
        <v>42303</v>
      </c>
      <c r="M72" s="54">
        <v>1</v>
      </c>
      <c r="N72" s="55" t="s">
        <v>266</v>
      </c>
      <c r="O72" s="54">
        <f t="shared" ref="O72" si="34">IF(K72=0,0,(NETWORKDAYS(B72,K72)))</f>
        <v>5</v>
      </c>
      <c r="P72" s="54">
        <f t="shared" ref="P72" si="35">IF(L72=0,0,(NETWORKDAYS(B72,L72)))</f>
        <v>5</v>
      </c>
      <c r="Q72" s="54">
        <v>1</v>
      </c>
      <c r="R72" s="60" t="s">
        <v>267</v>
      </c>
      <c r="S72" s="5"/>
      <c r="T72" s="33"/>
      <c r="U72" s="29"/>
      <c r="V72" s="33"/>
      <c r="W72" s="30"/>
    </row>
    <row r="73" spans="1:23" s="10" customFormat="1" ht="41.25" customHeight="1">
      <c r="A73" s="48" t="s">
        <v>837</v>
      </c>
      <c r="B73" s="49">
        <v>42293</v>
      </c>
      <c r="C73" s="48" t="s">
        <v>303</v>
      </c>
      <c r="D73" s="48" t="s">
        <v>243</v>
      </c>
      <c r="E73" s="48" t="s">
        <v>741</v>
      </c>
      <c r="F73" s="48" t="s">
        <v>838</v>
      </c>
      <c r="G73" s="48" t="s">
        <v>144</v>
      </c>
      <c r="H73" s="50" t="s">
        <v>549</v>
      </c>
      <c r="I73" s="51" t="str">
        <f t="shared" si="27"/>
        <v>ATENDIDO</v>
      </c>
      <c r="J73" s="61">
        <v>928</v>
      </c>
      <c r="K73" s="53">
        <v>42318</v>
      </c>
      <c r="L73" s="53">
        <v>42304</v>
      </c>
      <c r="M73" s="54">
        <v>1</v>
      </c>
      <c r="N73" s="55" t="s">
        <v>266</v>
      </c>
      <c r="O73" s="54">
        <f t="shared" ref="O73:O74" si="36">IF(K73=0,0,(NETWORKDAYS(B73,K73)))</f>
        <v>18</v>
      </c>
      <c r="P73" s="54">
        <f t="shared" ref="P73:P74" si="37">IF(L73=0,0,(NETWORKDAYS(B73,L73)))</f>
        <v>8</v>
      </c>
      <c r="Q73" s="54">
        <v>1</v>
      </c>
      <c r="R73" s="60" t="s">
        <v>267</v>
      </c>
      <c r="S73" s="30"/>
      <c r="T73" s="33"/>
      <c r="U73" s="29"/>
      <c r="V73" s="33"/>
      <c r="W73" s="30"/>
    </row>
    <row r="74" spans="1:23" s="10" customFormat="1" ht="41.25" customHeight="1">
      <c r="A74" s="48" t="s">
        <v>836</v>
      </c>
      <c r="B74" s="49">
        <v>42293</v>
      </c>
      <c r="C74" s="48" t="s">
        <v>46</v>
      </c>
      <c r="D74" s="48" t="s">
        <v>243</v>
      </c>
      <c r="E74" s="48" t="s">
        <v>335</v>
      </c>
      <c r="F74" s="48" t="s">
        <v>751</v>
      </c>
      <c r="G74" s="48" t="s">
        <v>162</v>
      </c>
      <c r="H74" s="50" t="s">
        <v>170</v>
      </c>
      <c r="I74" s="51" t="str">
        <f t="shared" si="27"/>
        <v>ATENDIDO</v>
      </c>
      <c r="J74" s="61">
        <v>934</v>
      </c>
      <c r="K74" s="53">
        <v>42314</v>
      </c>
      <c r="L74" s="53">
        <v>42310</v>
      </c>
      <c r="M74" s="54">
        <v>1</v>
      </c>
      <c r="N74" s="55" t="s">
        <v>266</v>
      </c>
      <c r="O74" s="54">
        <f t="shared" si="36"/>
        <v>16</v>
      </c>
      <c r="P74" s="54">
        <f t="shared" si="37"/>
        <v>12</v>
      </c>
      <c r="Q74" s="54">
        <v>1</v>
      </c>
      <c r="R74" s="60" t="s">
        <v>267</v>
      </c>
      <c r="S74" s="30"/>
      <c r="T74" s="33"/>
      <c r="U74" s="29"/>
      <c r="V74" s="33"/>
      <c r="W74" s="30"/>
    </row>
    <row r="75" spans="1:23" s="10" customFormat="1" ht="41.25" customHeight="1">
      <c r="A75" s="48" t="s">
        <v>827</v>
      </c>
      <c r="B75" s="49">
        <v>42291</v>
      </c>
      <c r="C75" s="48" t="s">
        <v>18</v>
      </c>
      <c r="D75" s="48" t="s">
        <v>243</v>
      </c>
      <c r="E75" s="48" t="s">
        <v>652</v>
      </c>
      <c r="F75" s="48" t="s">
        <v>653</v>
      </c>
      <c r="G75" s="48" t="s">
        <v>192</v>
      </c>
      <c r="H75" s="50" t="s">
        <v>549</v>
      </c>
      <c r="I75" s="51" t="str">
        <f t="shared" ref="I75:I80" si="38">IF(J75=0,"PENDIENTE",IF(J75="C","CORREO ENVIADO",IF(J75="OF","OFICIO EN FIRMA",IF(J75="PF","PLANOS EN FIRMA",IF(J75="OM","OFICIO MAQUINADO","ATENDIDO")))))</f>
        <v>ATENDIDO</v>
      </c>
      <c r="J75" s="61">
        <v>937</v>
      </c>
      <c r="K75" s="53">
        <v>42314</v>
      </c>
      <c r="L75" s="53">
        <v>42293</v>
      </c>
      <c r="M75" s="54">
        <v>1</v>
      </c>
      <c r="N75" s="55" t="s">
        <v>266</v>
      </c>
      <c r="O75" s="54">
        <f t="shared" ref="O75:O77" si="39">IF(K75=0,0,(NETWORKDAYS(B75,K75)))</f>
        <v>18</v>
      </c>
      <c r="P75" s="54">
        <f t="shared" ref="P75:P77" si="40">IF(L75=0,0,(NETWORKDAYS(B75,L75)))</f>
        <v>3</v>
      </c>
      <c r="Q75" s="54">
        <v>1</v>
      </c>
      <c r="R75" s="60" t="s">
        <v>267</v>
      </c>
      <c r="S75" s="30"/>
      <c r="T75" s="33"/>
      <c r="U75" s="29"/>
      <c r="V75" s="33"/>
      <c r="W75" s="30"/>
    </row>
    <row r="76" spans="1:23" s="10" customFormat="1" ht="41.25" customHeight="1">
      <c r="A76" s="48" t="s">
        <v>826</v>
      </c>
      <c r="B76" s="49">
        <v>42291</v>
      </c>
      <c r="C76" s="48" t="s">
        <v>12</v>
      </c>
      <c r="D76" s="48" t="s">
        <v>243</v>
      </c>
      <c r="E76" s="48" t="s">
        <v>302</v>
      </c>
      <c r="F76" s="48" t="s">
        <v>552</v>
      </c>
      <c r="G76" s="48" t="s">
        <v>192</v>
      </c>
      <c r="H76" s="50" t="s">
        <v>549</v>
      </c>
      <c r="I76" s="51" t="str">
        <f t="shared" si="38"/>
        <v>ATENDIDO</v>
      </c>
      <c r="J76" s="61">
        <v>907</v>
      </c>
      <c r="K76" s="53">
        <v>42299</v>
      </c>
      <c r="L76" s="53">
        <v>42296</v>
      </c>
      <c r="M76" s="54">
        <v>1</v>
      </c>
      <c r="N76" s="55" t="s">
        <v>266</v>
      </c>
      <c r="O76" s="54">
        <f t="shared" si="39"/>
        <v>7</v>
      </c>
      <c r="P76" s="54">
        <f t="shared" si="40"/>
        <v>4</v>
      </c>
      <c r="Q76" s="54">
        <v>1</v>
      </c>
      <c r="R76" s="60" t="s">
        <v>267</v>
      </c>
      <c r="S76" s="30"/>
      <c r="T76" s="33"/>
      <c r="U76" s="29"/>
      <c r="V76" s="33"/>
      <c r="W76" s="30"/>
    </row>
    <row r="77" spans="1:23" s="10" customFormat="1" ht="41.25" customHeight="1">
      <c r="A77" s="48" t="s">
        <v>825</v>
      </c>
      <c r="B77" s="49">
        <v>42291</v>
      </c>
      <c r="C77" s="48" t="s">
        <v>23</v>
      </c>
      <c r="D77" s="48" t="s">
        <v>243</v>
      </c>
      <c r="E77" s="48" t="s">
        <v>121</v>
      </c>
      <c r="F77" s="48" t="s">
        <v>543</v>
      </c>
      <c r="G77" s="48" t="s">
        <v>144</v>
      </c>
      <c r="H77" s="50" t="s">
        <v>549</v>
      </c>
      <c r="I77" s="51" t="str">
        <f t="shared" si="38"/>
        <v>ATENDIDO</v>
      </c>
      <c r="J77" s="61">
        <v>916</v>
      </c>
      <c r="K77" s="53">
        <v>42307</v>
      </c>
      <c r="L77" s="53">
        <v>42296</v>
      </c>
      <c r="M77" s="54">
        <v>1</v>
      </c>
      <c r="N77" s="55" t="s">
        <v>266</v>
      </c>
      <c r="O77" s="54">
        <f t="shared" si="39"/>
        <v>13</v>
      </c>
      <c r="P77" s="54">
        <f t="shared" si="40"/>
        <v>4</v>
      </c>
      <c r="Q77" s="54">
        <v>1</v>
      </c>
      <c r="R77" s="60" t="s">
        <v>267</v>
      </c>
      <c r="S77" s="30"/>
      <c r="T77" s="33"/>
      <c r="U77" s="29"/>
      <c r="V77" s="33"/>
      <c r="W77" s="30"/>
    </row>
    <row r="78" spans="1:23" s="10" customFormat="1" ht="41.25" customHeight="1">
      <c r="A78" s="48" t="s">
        <v>805</v>
      </c>
      <c r="B78" s="49">
        <v>42290</v>
      </c>
      <c r="C78" s="48" t="s">
        <v>18</v>
      </c>
      <c r="D78" s="48" t="s">
        <v>243</v>
      </c>
      <c r="E78" s="48" t="s">
        <v>806</v>
      </c>
      <c r="F78" s="48" t="s">
        <v>763</v>
      </c>
      <c r="G78" s="48" t="s">
        <v>192</v>
      </c>
      <c r="H78" s="50" t="s">
        <v>170</v>
      </c>
      <c r="I78" s="51" t="str">
        <f t="shared" si="38"/>
        <v>ATENDIDO</v>
      </c>
      <c r="J78" s="61">
        <v>954</v>
      </c>
      <c r="K78" s="53">
        <v>42332</v>
      </c>
      <c r="L78" s="53">
        <v>42290</v>
      </c>
      <c r="M78" s="54">
        <v>1</v>
      </c>
      <c r="N78" s="55" t="s">
        <v>266</v>
      </c>
      <c r="O78" s="54">
        <f t="shared" ref="O78:O80" si="41">IF(K78=0,0,(NETWORKDAYS(B78,K78)))</f>
        <v>31</v>
      </c>
      <c r="P78" s="54">
        <f t="shared" ref="P78:P80" si="42">IF(L78=0,0,(NETWORKDAYS(B78,L78)))</f>
        <v>1</v>
      </c>
      <c r="Q78" s="54">
        <v>1</v>
      </c>
      <c r="R78" s="60" t="s">
        <v>267</v>
      </c>
      <c r="S78" s="30"/>
      <c r="T78" s="33"/>
      <c r="U78" s="29"/>
      <c r="V78" s="33"/>
      <c r="W78" s="30"/>
    </row>
    <row r="79" spans="1:23" s="10" customFormat="1" ht="41.25" customHeight="1">
      <c r="A79" s="48" t="s">
        <v>804</v>
      </c>
      <c r="B79" s="49">
        <v>42290</v>
      </c>
      <c r="C79" s="48" t="s">
        <v>11</v>
      </c>
      <c r="D79" s="48" t="s">
        <v>243</v>
      </c>
      <c r="E79" s="48" t="s">
        <v>802</v>
      </c>
      <c r="F79" s="48" t="s">
        <v>803</v>
      </c>
      <c r="G79" s="48" t="s">
        <v>137</v>
      </c>
      <c r="H79" s="50" t="s">
        <v>170</v>
      </c>
      <c r="I79" s="51" t="str">
        <f t="shared" si="38"/>
        <v>ATENDIDO</v>
      </c>
      <c r="J79" s="52" t="s">
        <v>892</v>
      </c>
      <c r="K79" s="53">
        <v>42291</v>
      </c>
      <c r="L79" s="53">
        <v>42291</v>
      </c>
      <c r="M79" s="54">
        <v>1</v>
      </c>
      <c r="N79" s="55" t="s">
        <v>266</v>
      </c>
      <c r="O79" s="54">
        <f t="shared" si="41"/>
        <v>2</v>
      </c>
      <c r="P79" s="54">
        <f t="shared" si="42"/>
        <v>2</v>
      </c>
      <c r="Q79" s="54">
        <v>1</v>
      </c>
      <c r="R79" s="60" t="s">
        <v>267</v>
      </c>
      <c r="S79" s="30"/>
      <c r="T79" s="33"/>
      <c r="U79" s="29"/>
      <c r="V79" s="33"/>
      <c r="W79" s="30"/>
    </row>
    <row r="80" spans="1:23" s="10" customFormat="1" ht="41.25" customHeight="1">
      <c r="A80" s="48" t="s">
        <v>801</v>
      </c>
      <c r="B80" s="49">
        <v>42290</v>
      </c>
      <c r="C80" s="48" t="s">
        <v>312</v>
      </c>
      <c r="D80" s="48" t="s">
        <v>243</v>
      </c>
      <c r="E80" s="48" t="s">
        <v>802</v>
      </c>
      <c r="F80" s="48" t="s">
        <v>803</v>
      </c>
      <c r="G80" s="48" t="s">
        <v>313</v>
      </c>
      <c r="H80" s="50" t="s">
        <v>170</v>
      </c>
      <c r="I80" s="51" t="str">
        <f t="shared" si="38"/>
        <v>ATENDIDO</v>
      </c>
      <c r="J80" s="61" t="s">
        <v>408</v>
      </c>
      <c r="K80" s="53">
        <v>42311</v>
      </c>
      <c r="L80" s="53">
        <v>42293</v>
      </c>
      <c r="M80" s="54">
        <v>1</v>
      </c>
      <c r="N80" s="55" t="s">
        <v>266</v>
      </c>
      <c r="O80" s="54">
        <f t="shared" si="41"/>
        <v>16</v>
      </c>
      <c r="P80" s="54">
        <f t="shared" si="42"/>
        <v>4</v>
      </c>
      <c r="Q80" s="54">
        <v>1</v>
      </c>
      <c r="R80" s="60" t="s">
        <v>267</v>
      </c>
      <c r="S80" s="30"/>
      <c r="T80" s="33"/>
      <c r="U80" s="29"/>
      <c r="V80" s="33"/>
      <c r="W80" s="30"/>
    </row>
    <row r="81" spans="1:23" s="10" customFormat="1" ht="41.25" customHeight="1">
      <c r="A81" s="48" t="s">
        <v>799</v>
      </c>
      <c r="B81" s="49">
        <v>42286</v>
      </c>
      <c r="C81" s="48" t="s">
        <v>18</v>
      </c>
      <c r="D81" s="48" t="s">
        <v>243</v>
      </c>
      <c r="E81" s="48" t="s">
        <v>301</v>
      </c>
      <c r="F81" s="48" t="s">
        <v>798</v>
      </c>
      <c r="G81" s="48" t="s">
        <v>192</v>
      </c>
      <c r="H81" s="50" t="s">
        <v>172</v>
      </c>
      <c r="I81" s="51" t="str">
        <f t="shared" ref="I81:I92" si="43">IF(J81=0,"PENDIENTE",IF(J81="C","CORREO ENVIADO",IF(J81="OF","OFICIO EN FIRMA",IF(J81="PF","PLANOS EN FIRMA",IF(J81="OM","OFICIO MAQUINADO","ATENDIDO")))))</f>
        <v>ATENDIDO</v>
      </c>
      <c r="J81" s="61">
        <v>905</v>
      </c>
      <c r="K81" s="53">
        <v>42300</v>
      </c>
      <c r="L81" s="53">
        <v>42300</v>
      </c>
      <c r="M81" s="54">
        <v>1</v>
      </c>
      <c r="N81" s="55" t="s">
        <v>266</v>
      </c>
      <c r="O81" s="54">
        <f t="shared" ref="O81:O87" si="44">IF(K81=0,0,(NETWORKDAYS(B81,K81)))</f>
        <v>11</v>
      </c>
      <c r="P81" s="54">
        <f t="shared" ref="P81:P87" si="45">IF(L81=0,0,(NETWORKDAYS(B81,L81)))</f>
        <v>11</v>
      </c>
      <c r="Q81" s="54">
        <v>1</v>
      </c>
      <c r="R81" s="60" t="s">
        <v>267</v>
      </c>
      <c r="S81" s="30"/>
      <c r="T81" s="33"/>
      <c r="U81" s="29"/>
      <c r="V81" s="33"/>
      <c r="W81" s="30"/>
    </row>
    <row r="82" spans="1:23" s="10" customFormat="1" ht="41.25" customHeight="1">
      <c r="A82" s="48" t="s">
        <v>797</v>
      </c>
      <c r="B82" s="49">
        <v>42286</v>
      </c>
      <c r="C82" s="48" t="s">
        <v>18</v>
      </c>
      <c r="D82" s="48" t="s">
        <v>243</v>
      </c>
      <c r="E82" s="48" t="s">
        <v>301</v>
      </c>
      <c r="F82" s="48" t="s">
        <v>798</v>
      </c>
      <c r="G82" s="48" t="s">
        <v>192</v>
      </c>
      <c r="H82" s="50" t="s">
        <v>172</v>
      </c>
      <c r="I82" s="51" t="str">
        <f t="shared" si="43"/>
        <v>ATENDIDO</v>
      </c>
      <c r="J82" s="61">
        <v>904</v>
      </c>
      <c r="K82" s="53">
        <v>42300</v>
      </c>
      <c r="L82" s="53">
        <v>42300</v>
      </c>
      <c r="M82" s="54">
        <v>1</v>
      </c>
      <c r="N82" s="55" t="s">
        <v>266</v>
      </c>
      <c r="O82" s="54">
        <f t="shared" si="44"/>
        <v>11</v>
      </c>
      <c r="P82" s="54">
        <f t="shared" si="45"/>
        <v>11</v>
      </c>
      <c r="Q82" s="54">
        <v>1</v>
      </c>
      <c r="R82" s="60" t="s">
        <v>267</v>
      </c>
      <c r="S82" s="30"/>
      <c r="T82" s="33"/>
      <c r="U82" s="29"/>
      <c r="V82" s="33"/>
      <c r="W82" s="30"/>
    </row>
    <row r="83" spans="1:23" s="10" customFormat="1" ht="41.25" customHeight="1">
      <c r="A83" s="48" t="s">
        <v>796</v>
      </c>
      <c r="B83" s="49">
        <v>42286</v>
      </c>
      <c r="C83" s="48" t="s">
        <v>12</v>
      </c>
      <c r="D83" s="48" t="s">
        <v>243</v>
      </c>
      <c r="E83" s="48" t="s">
        <v>71</v>
      </c>
      <c r="F83" s="48" t="s">
        <v>399</v>
      </c>
      <c r="G83" s="48" t="s">
        <v>192</v>
      </c>
      <c r="H83" s="50" t="s">
        <v>549</v>
      </c>
      <c r="I83" s="51" t="str">
        <f t="shared" si="43"/>
        <v>ATENDIDO</v>
      </c>
      <c r="J83" s="61">
        <v>906</v>
      </c>
      <c r="K83" s="53">
        <v>42299</v>
      </c>
      <c r="L83" s="53">
        <v>42290</v>
      </c>
      <c r="M83" s="54">
        <v>1</v>
      </c>
      <c r="N83" s="55" t="s">
        <v>266</v>
      </c>
      <c r="O83" s="54">
        <f t="shared" si="44"/>
        <v>10</v>
      </c>
      <c r="P83" s="54">
        <f t="shared" si="45"/>
        <v>3</v>
      </c>
      <c r="Q83" s="54">
        <v>1</v>
      </c>
      <c r="R83" s="60" t="s">
        <v>267</v>
      </c>
      <c r="S83" s="30"/>
      <c r="T83" s="33"/>
      <c r="U83" s="29"/>
      <c r="V83" s="33"/>
      <c r="W83" s="30"/>
    </row>
    <row r="84" spans="1:23" s="10" customFormat="1" ht="41.25" customHeight="1">
      <c r="A84" s="48" t="s">
        <v>795</v>
      </c>
      <c r="B84" s="49">
        <v>42286</v>
      </c>
      <c r="C84" s="48" t="s">
        <v>12</v>
      </c>
      <c r="D84" s="48" t="s">
        <v>243</v>
      </c>
      <c r="E84" s="48" t="s">
        <v>71</v>
      </c>
      <c r="F84" s="48" t="s">
        <v>399</v>
      </c>
      <c r="G84" s="48" t="s">
        <v>192</v>
      </c>
      <c r="H84" s="50" t="s">
        <v>549</v>
      </c>
      <c r="I84" s="51" t="str">
        <f t="shared" si="43"/>
        <v>ATENDIDO</v>
      </c>
      <c r="J84" s="61">
        <v>902</v>
      </c>
      <c r="K84" s="53">
        <v>42299</v>
      </c>
      <c r="L84" s="53">
        <v>42290</v>
      </c>
      <c r="M84" s="54">
        <v>1</v>
      </c>
      <c r="N84" s="55" t="s">
        <v>266</v>
      </c>
      <c r="O84" s="54">
        <f t="shared" si="44"/>
        <v>10</v>
      </c>
      <c r="P84" s="54">
        <f t="shared" si="45"/>
        <v>3</v>
      </c>
      <c r="Q84" s="54">
        <v>1</v>
      </c>
      <c r="R84" s="60" t="s">
        <v>267</v>
      </c>
      <c r="S84" s="30"/>
      <c r="T84" s="33"/>
      <c r="U84" s="29"/>
      <c r="V84" s="33"/>
      <c r="W84" s="30"/>
    </row>
    <row r="85" spans="1:23" s="10" customFormat="1" ht="41.25" customHeight="1">
      <c r="A85" s="48" t="s">
        <v>794</v>
      </c>
      <c r="B85" s="49">
        <v>42286</v>
      </c>
      <c r="C85" s="48" t="s">
        <v>12</v>
      </c>
      <c r="D85" s="48" t="s">
        <v>243</v>
      </c>
      <c r="E85" s="48" t="s">
        <v>71</v>
      </c>
      <c r="F85" s="48" t="s">
        <v>399</v>
      </c>
      <c r="G85" s="48" t="s">
        <v>192</v>
      </c>
      <c r="H85" s="50" t="s">
        <v>549</v>
      </c>
      <c r="I85" s="51" t="str">
        <f t="shared" si="43"/>
        <v>ATENDIDO</v>
      </c>
      <c r="J85" s="61">
        <v>902</v>
      </c>
      <c r="K85" s="53">
        <v>42299</v>
      </c>
      <c r="L85" s="53">
        <v>42290</v>
      </c>
      <c r="M85" s="54">
        <v>1</v>
      </c>
      <c r="N85" s="55" t="s">
        <v>266</v>
      </c>
      <c r="O85" s="54">
        <f t="shared" si="44"/>
        <v>10</v>
      </c>
      <c r="P85" s="54">
        <f t="shared" si="45"/>
        <v>3</v>
      </c>
      <c r="Q85" s="54">
        <v>1</v>
      </c>
      <c r="R85" s="60" t="s">
        <v>267</v>
      </c>
      <c r="S85" s="30"/>
      <c r="T85" s="33"/>
      <c r="U85" s="29"/>
      <c r="V85" s="33"/>
      <c r="W85" s="30"/>
    </row>
    <row r="86" spans="1:23" s="10" customFormat="1" ht="41.25" customHeight="1">
      <c r="A86" s="48" t="s">
        <v>793</v>
      </c>
      <c r="B86" s="49">
        <v>42286</v>
      </c>
      <c r="C86" s="48" t="s">
        <v>12</v>
      </c>
      <c r="D86" s="48" t="s">
        <v>243</v>
      </c>
      <c r="E86" s="48" t="s">
        <v>71</v>
      </c>
      <c r="F86" s="48" t="s">
        <v>399</v>
      </c>
      <c r="G86" s="48" t="s">
        <v>192</v>
      </c>
      <c r="H86" s="50" t="s">
        <v>549</v>
      </c>
      <c r="I86" s="51" t="str">
        <f t="shared" si="43"/>
        <v>ATENDIDO</v>
      </c>
      <c r="J86" s="61">
        <v>902</v>
      </c>
      <c r="K86" s="53">
        <v>42299</v>
      </c>
      <c r="L86" s="53">
        <v>42290</v>
      </c>
      <c r="M86" s="54">
        <v>1</v>
      </c>
      <c r="N86" s="55" t="s">
        <v>266</v>
      </c>
      <c r="O86" s="54">
        <f t="shared" si="44"/>
        <v>10</v>
      </c>
      <c r="P86" s="54">
        <f t="shared" si="45"/>
        <v>3</v>
      </c>
      <c r="Q86" s="54">
        <v>1</v>
      </c>
      <c r="R86" s="60" t="s">
        <v>267</v>
      </c>
      <c r="S86" s="30"/>
      <c r="T86" s="33"/>
      <c r="U86" s="29"/>
      <c r="V86" s="33"/>
      <c r="W86" s="30"/>
    </row>
    <row r="87" spans="1:23" s="10" customFormat="1" ht="41.25" customHeight="1">
      <c r="A87" s="48" t="s">
        <v>792</v>
      </c>
      <c r="B87" s="49">
        <v>42286</v>
      </c>
      <c r="C87" s="48" t="s">
        <v>12</v>
      </c>
      <c r="D87" s="48" t="s">
        <v>243</v>
      </c>
      <c r="E87" s="48" t="s">
        <v>71</v>
      </c>
      <c r="F87" s="48" t="s">
        <v>399</v>
      </c>
      <c r="G87" s="48" t="s">
        <v>192</v>
      </c>
      <c r="H87" s="50" t="s">
        <v>549</v>
      </c>
      <c r="I87" s="51" t="str">
        <f t="shared" si="43"/>
        <v>ATENDIDO</v>
      </c>
      <c r="J87" s="61">
        <v>902</v>
      </c>
      <c r="K87" s="53">
        <v>42299</v>
      </c>
      <c r="L87" s="53">
        <v>42290</v>
      </c>
      <c r="M87" s="54">
        <v>1</v>
      </c>
      <c r="N87" s="55" t="s">
        <v>266</v>
      </c>
      <c r="O87" s="54">
        <f t="shared" si="44"/>
        <v>10</v>
      </c>
      <c r="P87" s="54">
        <f t="shared" si="45"/>
        <v>3</v>
      </c>
      <c r="Q87" s="54">
        <v>1</v>
      </c>
      <c r="R87" s="60" t="s">
        <v>267</v>
      </c>
      <c r="S87" s="30"/>
      <c r="T87" s="33"/>
      <c r="U87" s="29"/>
      <c r="V87" s="33"/>
      <c r="W87" s="30"/>
    </row>
    <row r="88" spans="1:23" s="10" customFormat="1" ht="41.25" customHeight="1">
      <c r="A88" s="48" t="s">
        <v>791</v>
      </c>
      <c r="B88" s="49">
        <v>42286</v>
      </c>
      <c r="C88" s="48" t="s">
        <v>12</v>
      </c>
      <c r="D88" s="48" t="s">
        <v>243</v>
      </c>
      <c r="E88" s="48" t="s">
        <v>71</v>
      </c>
      <c r="F88" s="48" t="s">
        <v>399</v>
      </c>
      <c r="G88" s="48" t="s">
        <v>192</v>
      </c>
      <c r="H88" s="50" t="s">
        <v>549</v>
      </c>
      <c r="I88" s="51" t="str">
        <f t="shared" si="43"/>
        <v>ATENDIDO</v>
      </c>
      <c r="J88" s="61">
        <v>902</v>
      </c>
      <c r="K88" s="53">
        <v>42299</v>
      </c>
      <c r="L88" s="53">
        <v>42290</v>
      </c>
      <c r="M88" s="54">
        <v>1</v>
      </c>
      <c r="N88" s="55" t="s">
        <v>266</v>
      </c>
      <c r="O88" s="54">
        <f>IF(K88=0,0,(NETWORKDAYS(B88,K88)))</f>
        <v>10</v>
      </c>
      <c r="P88" s="54">
        <f t="shared" ref="P88:P89" si="46">IF(L88=0,0,(NETWORKDAYS(B88,L88)))</f>
        <v>3</v>
      </c>
      <c r="Q88" s="54">
        <v>1</v>
      </c>
      <c r="R88" s="60" t="s">
        <v>267</v>
      </c>
      <c r="S88" s="30"/>
      <c r="T88" s="33"/>
      <c r="U88" s="29"/>
      <c r="V88" s="33"/>
      <c r="W88" s="30"/>
    </row>
    <row r="89" spans="1:23" s="10" customFormat="1" ht="41.25" customHeight="1">
      <c r="A89" s="48" t="s">
        <v>790</v>
      </c>
      <c r="B89" s="49">
        <v>42286</v>
      </c>
      <c r="C89" s="48" t="s">
        <v>12</v>
      </c>
      <c r="D89" s="48" t="s">
        <v>243</v>
      </c>
      <c r="E89" s="48" t="s">
        <v>71</v>
      </c>
      <c r="F89" s="48" t="s">
        <v>399</v>
      </c>
      <c r="G89" s="48" t="s">
        <v>192</v>
      </c>
      <c r="H89" s="50" t="s">
        <v>549</v>
      </c>
      <c r="I89" s="51" t="str">
        <f t="shared" si="43"/>
        <v>ATENDIDO</v>
      </c>
      <c r="J89" s="61">
        <v>906</v>
      </c>
      <c r="K89" s="53">
        <v>42299</v>
      </c>
      <c r="L89" s="53">
        <v>42290</v>
      </c>
      <c r="M89" s="54">
        <v>1</v>
      </c>
      <c r="N89" s="55" t="s">
        <v>266</v>
      </c>
      <c r="O89" s="54">
        <f>IF(K89=0,0,(NETWORKDAYS(B89,K89)))</f>
        <v>10</v>
      </c>
      <c r="P89" s="54">
        <f t="shared" si="46"/>
        <v>3</v>
      </c>
      <c r="Q89" s="54">
        <v>1</v>
      </c>
      <c r="R89" s="60" t="s">
        <v>267</v>
      </c>
      <c r="S89" s="30"/>
      <c r="T89" s="33"/>
      <c r="U89" s="29"/>
      <c r="V89" s="33"/>
      <c r="W89" s="30"/>
    </row>
    <row r="90" spans="1:23" s="10" customFormat="1" ht="41.25" customHeight="1">
      <c r="A90" s="48" t="s">
        <v>788</v>
      </c>
      <c r="B90" s="49">
        <v>42286</v>
      </c>
      <c r="C90" s="48" t="s">
        <v>12</v>
      </c>
      <c r="D90" s="48" t="s">
        <v>243</v>
      </c>
      <c r="E90" s="48" t="s">
        <v>71</v>
      </c>
      <c r="F90" s="48" t="s">
        <v>399</v>
      </c>
      <c r="G90" s="48" t="s">
        <v>192</v>
      </c>
      <c r="H90" s="50" t="s">
        <v>549</v>
      </c>
      <c r="I90" s="51" t="str">
        <f t="shared" si="43"/>
        <v>ATENDIDO</v>
      </c>
      <c r="J90" s="61">
        <v>906</v>
      </c>
      <c r="K90" s="53">
        <v>42299</v>
      </c>
      <c r="L90" s="53">
        <v>42290</v>
      </c>
      <c r="M90" s="54">
        <v>1</v>
      </c>
      <c r="N90" s="55" t="s">
        <v>266</v>
      </c>
      <c r="O90" s="63" t="s">
        <v>540</v>
      </c>
      <c r="P90" s="54">
        <f t="shared" ref="P90:P92" si="47">IF(L90=0,0,(NETWORKDAYS(B90,L90)))</f>
        <v>3</v>
      </c>
      <c r="Q90" s="54">
        <v>1</v>
      </c>
      <c r="R90" s="60" t="s">
        <v>267</v>
      </c>
      <c r="S90" s="30"/>
      <c r="T90" s="33"/>
      <c r="U90" s="29"/>
      <c r="V90" s="33"/>
      <c r="W90" s="30"/>
    </row>
    <row r="91" spans="1:23" s="10" customFormat="1" ht="41.25" customHeight="1">
      <c r="A91" s="48" t="s">
        <v>789</v>
      </c>
      <c r="B91" s="49">
        <v>42286</v>
      </c>
      <c r="C91" s="48" t="s">
        <v>12</v>
      </c>
      <c r="D91" s="48" t="s">
        <v>243</v>
      </c>
      <c r="E91" s="48" t="s">
        <v>71</v>
      </c>
      <c r="F91" s="48" t="s">
        <v>399</v>
      </c>
      <c r="G91" s="48" t="s">
        <v>192</v>
      </c>
      <c r="H91" s="50" t="s">
        <v>549</v>
      </c>
      <c r="I91" s="51" t="str">
        <f t="shared" si="43"/>
        <v>ATENDIDO</v>
      </c>
      <c r="J91" s="61">
        <v>906</v>
      </c>
      <c r="K91" s="53">
        <v>42299</v>
      </c>
      <c r="L91" s="53">
        <v>42290</v>
      </c>
      <c r="M91" s="54">
        <v>1</v>
      </c>
      <c r="N91" s="55" t="s">
        <v>266</v>
      </c>
      <c r="O91" s="63" t="s">
        <v>540</v>
      </c>
      <c r="P91" s="54">
        <f t="shared" si="47"/>
        <v>3</v>
      </c>
      <c r="Q91" s="54">
        <v>1</v>
      </c>
      <c r="R91" s="60" t="s">
        <v>267</v>
      </c>
      <c r="S91" s="30"/>
      <c r="T91" s="33"/>
      <c r="U91" s="29"/>
      <c r="V91" s="33"/>
      <c r="W91" s="30"/>
    </row>
    <row r="92" spans="1:23" s="10" customFormat="1" ht="41.25" customHeight="1">
      <c r="A92" s="48" t="s">
        <v>787</v>
      </c>
      <c r="B92" s="49">
        <v>42286</v>
      </c>
      <c r="C92" s="48" t="s">
        <v>12</v>
      </c>
      <c r="D92" s="48" t="s">
        <v>243</v>
      </c>
      <c r="E92" s="48" t="s">
        <v>71</v>
      </c>
      <c r="F92" s="48" t="s">
        <v>399</v>
      </c>
      <c r="G92" s="48" t="s">
        <v>192</v>
      </c>
      <c r="H92" s="50" t="s">
        <v>549</v>
      </c>
      <c r="I92" s="51" t="str">
        <f t="shared" si="43"/>
        <v>ATENDIDO</v>
      </c>
      <c r="J92" s="61">
        <v>906</v>
      </c>
      <c r="K92" s="53">
        <v>42299</v>
      </c>
      <c r="L92" s="53">
        <v>42290</v>
      </c>
      <c r="M92" s="54">
        <v>1</v>
      </c>
      <c r="N92" s="55" t="s">
        <v>266</v>
      </c>
      <c r="O92" s="63" t="s">
        <v>540</v>
      </c>
      <c r="P92" s="54">
        <f t="shared" si="47"/>
        <v>3</v>
      </c>
      <c r="Q92" s="54">
        <v>1</v>
      </c>
      <c r="R92" s="60" t="s">
        <v>267</v>
      </c>
      <c r="S92" s="30"/>
      <c r="T92" s="33"/>
      <c r="U92" s="29"/>
      <c r="V92" s="33"/>
      <c r="W92" s="30"/>
    </row>
    <row r="93" spans="1:23" s="10" customFormat="1" ht="41.25" customHeight="1">
      <c r="A93" s="48" t="s">
        <v>786</v>
      </c>
      <c r="B93" s="49">
        <v>42285</v>
      </c>
      <c r="C93" s="48" t="s">
        <v>12</v>
      </c>
      <c r="D93" s="48" t="s">
        <v>243</v>
      </c>
      <c r="E93" s="48" t="s">
        <v>94</v>
      </c>
      <c r="F93" s="48" t="s">
        <v>585</v>
      </c>
      <c r="G93" s="48" t="s">
        <v>192</v>
      </c>
      <c r="H93" s="50" t="s">
        <v>170</v>
      </c>
      <c r="I93" s="51" t="str">
        <f t="shared" ref="I93:I98" si="48">IF(J93=0,"PENDIENTE",IF(J93="C","CORREO ENVIADO",IF(J93="OF","OFICIO EN FIRMA",IF(J93="PF","PLANOS EN FIRMA",IF(J93="OM","OFICIO MAQUINADO","ATENDIDO")))))</f>
        <v>ATENDIDO</v>
      </c>
      <c r="J93" s="61">
        <v>899</v>
      </c>
      <c r="K93" s="53">
        <v>42293</v>
      </c>
      <c r="L93" s="53">
        <v>42286</v>
      </c>
      <c r="M93" s="54">
        <v>1</v>
      </c>
      <c r="N93" s="55" t="s">
        <v>266</v>
      </c>
      <c r="O93" s="63" t="s">
        <v>540</v>
      </c>
      <c r="P93" s="54">
        <f t="shared" ref="P93:P94" si="49">IF(L93=0,0,(NETWORKDAYS(B93,L93)))</f>
        <v>2</v>
      </c>
      <c r="Q93" s="54">
        <v>1</v>
      </c>
      <c r="R93" s="60" t="s">
        <v>267</v>
      </c>
      <c r="S93" s="30"/>
      <c r="T93" s="33"/>
      <c r="U93" s="29"/>
      <c r="V93" s="33"/>
      <c r="W93" s="30"/>
    </row>
    <row r="94" spans="1:23" s="10" customFormat="1" ht="41.25" customHeight="1">
      <c r="A94" s="48" t="s">
        <v>785</v>
      </c>
      <c r="B94" s="49">
        <v>42285</v>
      </c>
      <c r="C94" s="48" t="s">
        <v>12</v>
      </c>
      <c r="D94" s="48" t="s">
        <v>243</v>
      </c>
      <c r="E94" s="48" t="s">
        <v>94</v>
      </c>
      <c r="F94" s="48" t="s">
        <v>585</v>
      </c>
      <c r="G94" s="48" t="s">
        <v>192</v>
      </c>
      <c r="H94" s="50" t="s">
        <v>170</v>
      </c>
      <c r="I94" s="51" t="str">
        <f t="shared" si="48"/>
        <v>ATENDIDO</v>
      </c>
      <c r="J94" s="61">
        <v>895</v>
      </c>
      <c r="K94" s="53">
        <v>42293</v>
      </c>
      <c r="L94" s="53">
        <v>42286</v>
      </c>
      <c r="M94" s="54">
        <v>1</v>
      </c>
      <c r="N94" s="55" t="s">
        <v>266</v>
      </c>
      <c r="O94" s="63" t="s">
        <v>540</v>
      </c>
      <c r="P94" s="54">
        <f t="shared" si="49"/>
        <v>2</v>
      </c>
      <c r="Q94" s="54">
        <v>1</v>
      </c>
      <c r="R94" s="60" t="s">
        <v>267</v>
      </c>
      <c r="S94" s="30"/>
      <c r="T94" s="33"/>
      <c r="U94" s="29"/>
      <c r="V94" s="33"/>
      <c r="W94" s="30"/>
    </row>
    <row r="95" spans="1:23" s="10" customFormat="1" ht="41.25" customHeight="1">
      <c r="A95" s="48" t="s">
        <v>784</v>
      </c>
      <c r="B95" s="49">
        <v>42284</v>
      </c>
      <c r="C95" s="48" t="s">
        <v>12</v>
      </c>
      <c r="D95" s="48" t="s">
        <v>243</v>
      </c>
      <c r="E95" s="48" t="s">
        <v>302</v>
      </c>
      <c r="F95" s="48" t="s">
        <v>598</v>
      </c>
      <c r="G95" s="48" t="s">
        <v>192</v>
      </c>
      <c r="H95" s="50" t="s">
        <v>549</v>
      </c>
      <c r="I95" s="51" t="str">
        <f t="shared" si="48"/>
        <v>ATENDIDO</v>
      </c>
      <c r="J95" s="61">
        <v>873</v>
      </c>
      <c r="K95" s="53">
        <v>42291</v>
      </c>
      <c r="L95" s="53">
        <v>42289</v>
      </c>
      <c r="M95" s="54">
        <v>1</v>
      </c>
      <c r="N95" s="55" t="s">
        <v>266</v>
      </c>
      <c r="O95" s="63" t="s">
        <v>540</v>
      </c>
      <c r="P95" s="54">
        <f t="shared" ref="P95" si="50">IF(L95=0,0,(NETWORKDAYS(B95,L95)))</f>
        <v>4</v>
      </c>
      <c r="Q95" s="54">
        <v>1</v>
      </c>
      <c r="R95" s="60" t="s">
        <v>267</v>
      </c>
      <c r="S95" s="30"/>
      <c r="T95" s="33"/>
      <c r="U95" s="29"/>
      <c r="V95" s="33"/>
      <c r="W95" s="30"/>
    </row>
    <row r="96" spans="1:23" s="10" customFormat="1" ht="41.25" customHeight="1">
      <c r="A96" s="48" t="s">
        <v>783</v>
      </c>
      <c r="B96" s="49">
        <v>42284</v>
      </c>
      <c r="C96" s="48" t="s">
        <v>17</v>
      </c>
      <c r="D96" s="48" t="s">
        <v>243</v>
      </c>
      <c r="E96" s="48" t="s">
        <v>94</v>
      </c>
      <c r="F96" s="48" t="s">
        <v>585</v>
      </c>
      <c r="G96" s="48" t="s">
        <v>192</v>
      </c>
      <c r="H96" s="50" t="s">
        <v>170</v>
      </c>
      <c r="I96" s="51" t="str">
        <f t="shared" si="48"/>
        <v>ATENDIDO</v>
      </c>
      <c r="J96" s="61">
        <v>898</v>
      </c>
      <c r="K96" s="53">
        <v>42296</v>
      </c>
      <c r="L96" s="53">
        <v>42296</v>
      </c>
      <c r="M96" s="54">
        <v>1</v>
      </c>
      <c r="N96" s="55" t="s">
        <v>266</v>
      </c>
      <c r="O96" s="63" t="s">
        <v>540</v>
      </c>
      <c r="P96" s="54">
        <f t="shared" ref="P96" si="51">IF(L96=0,0,(NETWORKDAYS(B96,L96)))</f>
        <v>9</v>
      </c>
      <c r="Q96" s="54">
        <v>1</v>
      </c>
      <c r="R96" s="60" t="s">
        <v>267</v>
      </c>
      <c r="S96" s="30"/>
      <c r="T96" s="33"/>
      <c r="U96" s="29"/>
      <c r="V96" s="33"/>
      <c r="W96" s="30"/>
    </row>
    <row r="97" spans="1:23" s="10" customFormat="1" ht="41.25" customHeight="1">
      <c r="A97" s="48" t="s">
        <v>781</v>
      </c>
      <c r="B97" s="49">
        <v>42282</v>
      </c>
      <c r="C97" s="48" t="s">
        <v>68</v>
      </c>
      <c r="D97" s="48" t="s">
        <v>243</v>
      </c>
      <c r="E97" s="48" t="s">
        <v>96</v>
      </c>
      <c r="F97" s="48" t="s">
        <v>782</v>
      </c>
      <c r="G97" s="48" t="s">
        <v>156</v>
      </c>
      <c r="H97" s="50" t="s">
        <v>170</v>
      </c>
      <c r="I97" s="51" t="str">
        <f t="shared" si="48"/>
        <v>ATENDIDO</v>
      </c>
      <c r="J97" s="61">
        <v>889</v>
      </c>
      <c r="K97" s="53">
        <v>42283</v>
      </c>
      <c r="L97" s="53">
        <v>42283</v>
      </c>
      <c r="M97" s="54">
        <v>1</v>
      </c>
      <c r="N97" s="55" t="s">
        <v>266</v>
      </c>
      <c r="O97" s="63" t="s">
        <v>540</v>
      </c>
      <c r="P97" s="54">
        <f t="shared" ref="P97:P98" si="52">IF(L97=0,0,(NETWORKDAYS(B97,L97)))</f>
        <v>2</v>
      </c>
      <c r="Q97" s="54">
        <v>1</v>
      </c>
      <c r="R97" s="60" t="s">
        <v>267</v>
      </c>
      <c r="S97" s="30"/>
      <c r="T97" s="33"/>
      <c r="U97" s="29"/>
      <c r="V97" s="33"/>
      <c r="W97" s="30"/>
    </row>
    <row r="98" spans="1:23" s="10" customFormat="1" ht="41.25" customHeight="1">
      <c r="A98" s="48" t="s">
        <v>778</v>
      </c>
      <c r="B98" s="49">
        <v>42279</v>
      </c>
      <c r="C98" s="48" t="s">
        <v>498</v>
      </c>
      <c r="D98" s="48" t="s">
        <v>243</v>
      </c>
      <c r="E98" s="48" t="s">
        <v>779</v>
      </c>
      <c r="F98" s="48" t="s">
        <v>780</v>
      </c>
      <c r="G98" s="48" t="s">
        <v>151</v>
      </c>
      <c r="H98" s="50" t="s">
        <v>170</v>
      </c>
      <c r="I98" s="51" t="str">
        <f t="shared" si="48"/>
        <v>ATENDIDO</v>
      </c>
      <c r="J98" s="61" t="s">
        <v>606</v>
      </c>
      <c r="K98" s="53">
        <v>42282</v>
      </c>
      <c r="L98" s="53">
        <v>42282</v>
      </c>
      <c r="M98" s="54">
        <v>1</v>
      </c>
      <c r="N98" s="55" t="s">
        <v>266</v>
      </c>
      <c r="O98" s="63" t="s">
        <v>540</v>
      </c>
      <c r="P98" s="54">
        <f t="shared" si="52"/>
        <v>2</v>
      </c>
      <c r="Q98" s="54">
        <v>1</v>
      </c>
      <c r="R98" s="60" t="s">
        <v>267</v>
      </c>
      <c r="S98" s="30"/>
      <c r="T98" s="33"/>
      <c r="U98" s="29"/>
      <c r="V98" s="33"/>
      <c r="W98" s="30"/>
    </row>
    <row r="99" spans="1:23" s="10" customFormat="1" ht="41.25" customHeight="1">
      <c r="A99" s="48" t="s">
        <v>777</v>
      </c>
      <c r="B99" s="49">
        <v>42279</v>
      </c>
      <c r="C99" s="48" t="s">
        <v>13</v>
      </c>
      <c r="D99" s="48" t="s">
        <v>56</v>
      </c>
      <c r="E99" s="48" t="s">
        <v>73</v>
      </c>
      <c r="F99" s="48" t="s">
        <v>480</v>
      </c>
      <c r="G99" s="48" t="s">
        <v>192</v>
      </c>
      <c r="H99" s="50" t="s">
        <v>170</v>
      </c>
      <c r="I99" s="51" t="str">
        <f t="shared" ref="I99:I107" si="53">IF(J99=0,"PENDIENTE",IF(J99="C","CORREO ENVIADO",IF(J99="OF","OFICIO EN FIRMA",IF(J99="PF","PLANOS EN FIRMA",IF(J99="OM","OFICIO MAQUINADO","ATENDIDO")))))</f>
        <v>ATENDIDO</v>
      </c>
      <c r="J99" s="61">
        <v>869</v>
      </c>
      <c r="K99" s="53">
        <v>42286</v>
      </c>
      <c r="L99" s="53">
        <v>42286</v>
      </c>
      <c r="M99" s="54">
        <v>1</v>
      </c>
      <c r="N99" s="55" t="s">
        <v>266</v>
      </c>
      <c r="O99" s="63" t="s">
        <v>540</v>
      </c>
      <c r="P99" s="54">
        <f t="shared" ref="P99:P106" si="54">IF(L99=0,0,(NETWORKDAYS(B99,L99)))</f>
        <v>6</v>
      </c>
      <c r="Q99" s="54">
        <v>1</v>
      </c>
      <c r="R99" s="60" t="s">
        <v>267</v>
      </c>
      <c r="S99" s="30"/>
      <c r="T99" s="33"/>
      <c r="U99" s="29"/>
      <c r="V99" s="33"/>
      <c r="W99" s="30"/>
    </row>
    <row r="100" spans="1:23" s="10" customFormat="1" ht="41.25" customHeight="1">
      <c r="A100" s="48" t="s">
        <v>776</v>
      </c>
      <c r="B100" s="49">
        <v>42279</v>
      </c>
      <c r="C100" s="48" t="s">
        <v>12</v>
      </c>
      <c r="D100" s="48" t="s">
        <v>243</v>
      </c>
      <c r="E100" s="48" t="s">
        <v>94</v>
      </c>
      <c r="F100" s="48" t="s">
        <v>585</v>
      </c>
      <c r="G100" s="48" t="s">
        <v>192</v>
      </c>
      <c r="H100" s="50" t="s">
        <v>172</v>
      </c>
      <c r="I100" s="51" t="str">
        <f t="shared" si="53"/>
        <v>ATENDIDO</v>
      </c>
      <c r="J100" s="61">
        <v>894</v>
      </c>
      <c r="K100" s="53">
        <v>42296</v>
      </c>
      <c r="L100" s="53">
        <v>42296</v>
      </c>
      <c r="M100" s="54">
        <v>1</v>
      </c>
      <c r="N100" s="55" t="s">
        <v>266</v>
      </c>
      <c r="O100" s="63" t="s">
        <v>540</v>
      </c>
      <c r="P100" s="54">
        <f t="shared" si="54"/>
        <v>12</v>
      </c>
      <c r="Q100" s="54">
        <v>1</v>
      </c>
      <c r="R100" s="60" t="s">
        <v>267</v>
      </c>
      <c r="S100" s="30"/>
      <c r="T100" s="33"/>
      <c r="U100" s="29"/>
      <c r="V100" s="33"/>
      <c r="W100" s="30"/>
    </row>
    <row r="101" spans="1:23" s="10" customFormat="1" ht="41.25" customHeight="1">
      <c r="A101" s="48" t="s">
        <v>775</v>
      </c>
      <c r="B101" s="49">
        <v>42279</v>
      </c>
      <c r="C101" s="48" t="s">
        <v>12</v>
      </c>
      <c r="D101" s="48" t="s">
        <v>243</v>
      </c>
      <c r="E101" s="48" t="s">
        <v>94</v>
      </c>
      <c r="F101" s="48" t="s">
        <v>585</v>
      </c>
      <c r="G101" s="48" t="s">
        <v>192</v>
      </c>
      <c r="H101" s="50" t="s">
        <v>172</v>
      </c>
      <c r="I101" s="51" t="str">
        <f t="shared" si="53"/>
        <v>ATENDIDO</v>
      </c>
      <c r="J101" s="61">
        <v>878</v>
      </c>
      <c r="K101" s="53">
        <v>42286</v>
      </c>
      <c r="L101" s="53">
        <v>42285</v>
      </c>
      <c r="M101" s="54">
        <v>1</v>
      </c>
      <c r="N101" s="55" t="s">
        <v>266</v>
      </c>
      <c r="O101" s="63" t="s">
        <v>540</v>
      </c>
      <c r="P101" s="54">
        <f t="shared" si="54"/>
        <v>5</v>
      </c>
      <c r="Q101" s="54">
        <v>1</v>
      </c>
      <c r="R101" s="60" t="s">
        <v>267</v>
      </c>
      <c r="S101" s="30"/>
      <c r="T101" s="33"/>
      <c r="U101" s="29"/>
      <c r="V101" s="33"/>
      <c r="W101" s="30"/>
    </row>
    <row r="102" spans="1:23" s="10" customFormat="1" ht="41.25" customHeight="1">
      <c r="A102" s="48" t="s">
        <v>774</v>
      </c>
      <c r="B102" s="49">
        <v>42279</v>
      </c>
      <c r="C102" s="48" t="s">
        <v>12</v>
      </c>
      <c r="D102" s="48" t="s">
        <v>243</v>
      </c>
      <c r="E102" s="48" t="s">
        <v>94</v>
      </c>
      <c r="F102" s="48" t="s">
        <v>585</v>
      </c>
      <c r="G102" s="48" t="s">
        <v>192</v>
      </c>
      <c r="H102" s="50" t="s">
        <v>172</v>
      </c>
      <c r="I102" s="51" t="str">
        <f t="shared" si="53"/>
        <v>ATENDIDO</v>
      </c>
      <c r="J102" s="61">
        <v>880</v>
      </c>
      <c r="K102" s="53">
        <v>42285</v>
      </c>
      <c r="L102" s="53">
        <v>42285</v>
      </c>
      <c r="M102" s="54">
        <v>1</v>
      </c>
      <c r="N102" s="55" t="s">
        <v>266</v>
      </c>
      <c r="O102" s="63" t="s">
        <v>540</v>
      </c>
      <c r="P102" s="54">
        <f t="shared" si="54"/>
        <v>5</v>
      </c>
      <c r="Q102" s="54">
        <v>1</v>
      </c>
      <c r="R102" s="60" t="s">
        <v>267</v>
      </c>
      <c r="S102" s="30"/>
      <c r="T102" s="33"/>
      <c r="U102" s="29"/>
      <c r="V102" s="33"/>
      <c r="W102" s="30"/>
    </row>
    <row r="103" spans="1:23" s="10" customFormat="1" ht="41.25" customHeight="1">
      <c r="A103" s="48" t="s">
        <v>773</v>
      </c>
      <c r="B103" s="49">
        <v>42279</v>
      </c>
      <c r="C103" s="48" t="s">
        <v>12</v>
      </c>
      <c r="D103" s="48" t="s">
        <v>243</v>
      </c>
      <c r="E103" s="48" t="s">
        <v>94</v>
      </c>
      <c r="F103" s="48" t="s">
        <v>585</v>
      </c>
      <c r="G103" s="48" t="s">
        <v>192</v>
      </c>
      <c r="H103" s="50" t="s">
        <v>172</v>
      </c>
      <c r="I103" s="51" t="str">
        <f t="shared" si="53"/>
        <v>ATENDIDO</v>
      </c>
      <c r="J103" s="61" t="s">
        <v>844</v>
      </c>
      <c r="K103" s="53">
        <v>42286</v>
      </c>
      <c r="L103" s="53">
        <v>42286</v>
      </c>
      <c r="M103" s="54">
        <v>1</v>
      </c>
      <c r="N103" s="55" t="s">
        <v>266</v>
      </c>
      <c r="O103" s="63" t="s">
        <v>540</v>
      </c>
      <c r="P103" s="54">
        <f t="shared" si="54"/>
        <v>6</v>
      </c>
      <c r="Q103" s="54">
        <v>1</v>
      </c>
      <c r="R103" s="60" t="s">
        <v>267</v>
      </c>
      <c r="S103" s="30"/>
      <c r="T103" s="33"/>
      <c r="U103" s="29"/>
      <c r="V103" s="33"/>
      <c r="W103" s="30"/>
    </row>
    <row r="104" spans="1:23" s="10" customFormat="1" ht="41.25" customHeight="1">
      <c r="A104" s="48" t="s">
        <v>771</v>
      </c>
      <c r="B104" s="49">
        <v>42279</v>
      </c>
      <c r="C104" s="48" t="s">
        <v>26</v>
      </c>
      <c r="D104" s="48" t="s">
        <v>243</v>
      </c>
      <c r="E104" s="48" t="s">
        <v>129</v>
      </c>
      <c r="F104" s="48" t="s">
        <v>772</v>
      </c>
      <c r="G104" s="48" t="s">
        <v>158</v>
      </c>
      <c r="H104" s="50" t="s">
        <v>170</v>
      </c>
      <c r="I104" s="51" t="str">
        <f t="shared" si="53"/>
        <v>ATENDIDO</v>
      </c>
      <c r="J104" s="61">
        <v>861</v>
      </c>
      <c r="K104" s="53">
        <v>42284</v>
      </c>
      <c r="L104" s="53">
        <v>42284</v>
      </c>
      <c r="M104" s="54">
        <v>1</v>
      </c>
      <c r="N104" s="55" t="s">
        <v>266</v>
      </c>
      <c r="O104" s="63" t="s">
        <v>540</v>
      </c>
      <c r="P104" s="54">
        <f t="shared" si="54"/>
        <v>4</v>
      </c>
      <c r="Q104" s="54">
        <v>1</v>
      </c>
      <c r="R104" s="60" t="s">
        <v>267</v>
      </c>
      <c r="S104" s="30"/>
      <c r="T104" s="33"/>
      <c r="U104" s="29"/>
      <c r="V104" s="33"/>
      <c r="W104" s="30"/>
    </row>
    <row r="105" spans="1:23" s="10" customFormat="1" ht="41.25" customHeight="1">
      <c r="A105" s="48" t="s">
        <v>770</v>
      </c>
      <c r="B105" s="49">
        <v>42278</v>
      </c>
      <c r="C105" s="48" t="s">
        <v>18</v>
      </c>
      <c r="D105" s="48" t="s">
        <v>243</v>
      </c>
      <c r="E105" s="48" t="s">
        <v>89</v>
      </c>
      <c r="F105" s="48" t="s">
        <v>572</v>
      </c>
      <c r="G105" s="48" t="s">
        <v>192</v>
      </c>
      <c r="H105" s="50" t="s">
        <v>170</v>
      </c>
      <c r="I105" s="51" t="str">
        <f t="shared" si="53"/>
        <v>ATENDIDO</v>
      </c>
      <c r="J105" s="61" t="s">
        <v>408</v>
      </c>
      <c r="K105" s="53">
        <v>42282</v>
      </c>
      <c r="L105" s="53">
        <v>42282</v>
      </c>
      <c r="M105" s="54">
        <v>1</v>
      </c>
      <c r="N105" s="55" t="s">
        <v>266</v>
      </c>
      <c r="O105" s="63" t="s">
        <v>540</v>
      </c>
      <c r="P105" s="54">
        <f t="shared" si="54"/>
        <v>3</v>
      </c>
      <c r="Q105" s="54">
        <v>1</v>
      </c>
      <c r="R105" s="60" t="s">
        <v>267</v>
      </c>
      <c r="S105" s="30"/>
      <c r="T105" s="33"/>
      <c r="U105" s="29"/>
      <c r="V105" s="33"/>
      <c r="W105" s="30"/>
    </row>
    <row r="106" spans="1:23" s="10" customFormat="1" ht="41.25" customHeight="1">
      <c r="A106" s="48" t="s">
        <v>768</v>
      </c>
      <c r="B106" s="49">
        <v>42278</v>
      </c>
      <c r="C106" s="48" t="s">
        <v>303</v>
      </c>
      <c r="D106" s="48" t="s">
        <v>243</v>
      </c>
      <c r="E106" s="48" t="s">
        <v>741</v>
      </c>
      <c r="F106" s="48" t="s">
        <v>769</v>
      </c>
      <c r="G106" s="48" t="s">
        <v>144</v>
      </c>
      <c r="H106" s="50" t="s">
        <v>549</v>
      </c>
      <c r="I106" s="51" t="str">
        <f t="shared" si="53"/>
        <v>ATENDIDO</v>
      </c>
      <c r="J106" s="52" t="s">
        <v>845</v>
      </c>
      <c r="K106" s="53"/>
      <c r="L106" s="53">
        <v>42283</v>
      </c>
      <c r="M106" s="54">
        <v>1</v>
      </c>
      <c r="N106" s="55" t="s">
        <v>266</v>
      </c>
      <c r="O106" s="63" t="s">
        <v>540</v>
      </c>
      <c r="P106" s="54">
        <f t="shared" si="54"/>
        <v>4</v>
      </c>
      <c r="Q106" s="54">
        <v>1</v>
      </c>
      <c r="R106" s="69" t="s">
        <v>267</v>
      </c>
      <c r="S106" s="30"/>
      <c r="T106" s="33"/>
      <c r="U106" s="29"/>
      <c r="V106" s="33"/>
      <c r="W106" s="30"/>
    </row>
    <row r="107" spans="1:23" s="10" customFormat="1" ht="41.25" customHeight="1">
      <c r="A107" s="48" t="s">
        <v>767</v>
      </c>
      <c r="B107" s="49">
        <v>42276</v>
      </c>
      <c r="C107" s="48" t="s">
        <v>22</v>
      </c>
      <c r="D107" s="48" t="s">
        <v>243</v>
      </c>
      <c r="E107" s="48" t="s">
        <v>86</v>
      </c>
      <c r="F107" s="48" t="s">
        <v>526</v>
      </c>
      <c r="G107" s="48" t="s">
        <v>145</v>
      </c>
      <c r="H107" s="50" t="s">
        <v>170</v>
      </c>
      <c r="I107" s="51" t="str">
        <f t="shared" si="53"/>
        <v>ATENDIDO</v>
      </c>
      <c r="J107" s="61">
        <v>900</v>
      </c>
      <c r="K107" s="53">
        <v>42299</v>
      </c>
      <c r="L107" s="53">
        <v>42284</v>
      </c>
      <c r="M107" s="54">
        <v>1</v>
      </c>
      <c r="N107" s="55" t="s">
        <v>266</v>
      </c>
      <c r="O107" s="63" t="s">
        <v>540</v>
      </c>
      <c r="P107" s="54">
        <f t="shared" ref="P107" si="55">IF(L107=0,0,(NETWORKDAYS(B107,L107)))</f>
        <v>7</v>
      </c>
      <c r="Q107" s="54">
        <v>1</v>
      </c>
      <c r="R107" s="60" t="s">
        <v>267</v>
      </c>
      <c r="S107" s="30"/>
      <c r="T107" s="33"/>
      <c r="U107" s="29"/>
      <c r="V107" s="33"/>
      <c r="W107" s="30"/>
    </row>
    <row r="108" spans="1:23" s="10" customFormat="1" ht="41.25" customHeight="1">
      <c r="A108" s="48" t="s">
        <v>764</v>
      </c>
      <c r="B108" s="49">
        <v>42275</v>
      </c>
      <c r="C108" s="48" t="s">
        <v>19</v>
      </c>
      <c r="D108" s="48" t="s">
        <v>243</v>
      </c>
      <c r="E108" s="48" t="s">
        <v>125</v>
      </c>
      <c r="F108" s="48" t="s">
        <v>765</v>
      </c>
      <c r="G108" s="48" t="s">
        <v>161</v>
      </c>
      <c r="H108" s="50" t="s">
        <v>170</v>
      </c>
      <c r="I108" s="51" t="str">
        <f t="shared" ref="I108:I113" si="56">IF(J108=0,"PENDIENTE",IF(J108="C","CORREO ENVIADO",IF(J108="OF","OFICIO EN FIRMA",IF(J108="PF","PLANOS EN FIRMA",IF(J108="OM","OFICIO MAQUINADO","ATENDIDO")))))</f>
        <v>ATENDIDO</v>
      </c>
      <c r="J108" s="61" t="s">
        <v>766</v>
      </c>
      <c r="K108" s="53">
        <v>42276</v>
      </c>
      <c r="L108" s="53">
        <v>42276</v>
      </c>
      <c r="M108" s="54">
        <v>1</v>
      </c>
      <c r="N108" s="55" t="s">
        <v>266</v>
      </c>
      <c r="O108" s="63" t="s">
        <v>540</v>
      </c>
      <c r="P108" s="54">
        <f t="shared" ref="P108:P110" si="57">IF(L108=0,0,(NETWORKDAYS(B108,L108)))</f>
        <v>2</v>
      </c>
      <c r="Q108" s="54">
        <v>1</v>
      </c>
      <c r="R108" s="60" t="s">
        <v>267</v>
      </c>
      <c r="S108" s="30"/>
      <c r="T108" s="33"/>
      <c r="U108" s="29"/>
      <c r="V108" s="33"/>
      <c r="W108" s="30"/>
    </row>
    <row r="109" spans="1:23" s="10" customFormat="1" ht="41.25" customHeight="1">
      <c r="A109" s="48" t="s">
        <v>761</v>
      </c>
      <c r="B109" s="49">
        <v>42272</v>
      </c>
      <c r="C109" s="48" t="s">
        <v>18</v>
      </c>
      <c r="D109" s="48" t="s">
        <v>243</v>
      </c>
      <c r="E109" s="48" t="s">
        <v>762</v>
      </c>
      <c r="F109" s="48" t="s">
        <v>763</v>
      </c>
      <c r="G109" s="48" t="s">
        <v>192</v>
      </c>
      <c r="H109" s="50" t="s">
        <v>170</v>
      </c>
      <c r="I109" s="51" t="str">
        <f t="shared" si="56"/>
        <v>ATENDIDO</v>
      </c>
      <c r="J109" s="61" t="s">
        <v>408</v>
      </c>
      <c r="K109" s="53">
        <v>42284</v>
      </c>
      <c r="L109" s="53">
        <v>42284</v>
      </c>
      <c r="M109" s="54">
        <v>1</v>
      </c>
      <c r="N109" s="55" t="s">
        <v>266</v>
      </c>
      <c r="O109" s="63" t="s">
        <v>540</v>
      </c>
      <c r="P109" s="54">
        <f t="shared" si="57"/>
        <v>9</v>
      </c>
      <c r="Q109" s="54">
        <v>1</v>
      </c>
      <c r="R109" s="60" t="s">
        <v>267</v>
      </c>
      <c r="S109" s="30"/>
      <c r="T109" s="33"/>
      <c r="U109" s="29"/>
      <c r="V109" s="33"/>
      <c r="W109" s="30"/>
    </row>
    <row r="110" spans="1:23" s="10" customFormat="1" ht="41.25" customHeight="1">
      <c r="A110" s="48" t="s">
        <v>760</v>
      </c>
      <c r="B110" s="49">
        <v>42270</v>
      </c>
      <c r="C110" s="48" t="s">
        <v>31</v>
      </c>
      <c r="D110" s="48" t="s">
        <v>243</v>
      </c>
      <c r="E110" s="48" t="s">
        <v>95</v>
      </c>
      <c r="F110" s="48" t="s">
        <v>396</v>
      </c>
      <c r="G110" s="48" t="s">
        <v>140</v>
      </c>
      <c r="H110" s="50" t="s">
        <v>170</v>
      </c>
      <c r="I110" s="51" t="str">
        <f t="shared" si="56"/>
        <v>ATENDIDO</v>
      </c>
      <c r="J110" s="61">
        <v>830</v>
      </c>
      <c r="K110" s="53">
        <v>42276</v>
      </c>
      <c r="L110" s="53">
        <v>42276</v>
      </c>
      <c r="M110" s="54">
        <v>1</v>
      </c>
      <c r="N110" s="55" t="s">
        <v>266</v>
      </c>
      <c r="O110" s="63" t="s">
        <v>540</v>
      </c>
      <c r="P110" s="54">
        <f t="shared" si="57"/>
        <v>5</v>
      </c>
      <c r="Q110" s="54">
        <v>1</v>
      </c>
      <c r="R110" s="60" t="s">
        <v>267</v>
      </c>
      <c r="S110" s="30"/>
      <c r="T110" s="33"/>
      <c r="U110" s="29"/>
      <c r="V110" s="33"/>
      <c r="W110" s="30"/>
    </row>
    <row r="111" spans="1:23" s="10" customFormat="1" ht="41.25" customHeight="1">
      <c r="A111" s="48" t="s">
        <v>758</v>
      </c>
      <c r="B111" s="49">
        <v>42270</v>
      </c>
      <c r="C111" s="48" t="s">
        <v>18</v>
      </c>
      <c r="D111" s="48" t="s">
        <v>243</v>
      </c>
      <c r="E111" s="48" t="s">
        <v>652</v>
      </c>
      <c r="F111" s="48" t="s">
        <v>759</v>
      </c>
      <c r="G111" s="48" t="s">
        <v>192</v>
      </c>
      <c r="H111" s="50" t="s">
        <v>549</v>
      </c>
      <c r="I111" s="51" t="str">
        <f t="shared" si="56"/>
        <v>ATENDIDO</v>
      </c>
      <c r="J111" s="61" t="s">
        <v>800</v>
      </c>
      <c r="K111" s="53">
        <v>42289</v>
      </c>
      <c r="L111" s="53">
        <v>42275</v>
      </c>
      <c r="M111" s="54">
        <v>1</v>
      </c>
      <c r="N111" s="55" t="s">
        <v>266</v>
      </c>
      <c r="O111" s="63" t="s">
        <v>540</v>
      </c>
      <c r="P111" s="54">
        <f t="shared" ref="P111" si="58">IF(L111=0,0,(NETWORKDAYS(B111,L111)))</f>
        <v>4</v>
      </c>
      <c r="Q111" s="54">
        <v>1</v>
      </c>
      <c r="R111" s="60" t="s">
        <v>267</v>
      </c>
      <c r="S111" s="30"/>
      <c r="T111" s="33"/>
      <c r="U111" s="29"/>
      <c r="V111" s="33"/>
      <c r="W111" s="30"/>
    </row>
    <row r="112" spans="1:23" s="10" customFormat="1" ht="41.25" customHeight="1">
      <c r="A112" s="48" t="s">
        <v>757</v>
      </c>
      <c r="B112" s="49">
        <v>42269</v>
      </c>
      <c r="C112" s="48" t="s">
        <v>16</v>
      </c>
      <c r="D112" s="48" t="s">
        <v>243</v>
      </c>
      <c r="E112" s="48" t="s">
        <v>83</v>
      </c>
      <c r="F112" s="48" t="s">
        <v>746</v>
      </c>
      <c r="G112" s="48" t="s">
        <v>192</v>
      </c>
      <c r="H112" s="50" t="s">
        <v>172</v>
      </c>
      <c r="I112" s="51" t="str">
        <f t="shared" si="56"/>
        <v>ATENDIDO</v>
      </c>
      <c r="J112" s="61">
        <v>827</v>
      </c>
      <c r="K112" s="53">
        <v>42276</v>
      </c>
      <c r="L112" s="53">
        <v>42276</v>
      </c>
      <c r="M112" s="54">
        <v>1</v>
      </c>
      <c r="N112" s="55" t="s">
        <v>266</v>
      </c>
      <c r="O112" s="63" t="s">
        <v>540</v>
      </c>
      <c r="P112" s="54">
        <f>IF(L112=0,0,(NETWORKDAYS(B112,L112)))</f>
        <v>6</v>
      </c>
      <c r="Q112" s="54">
        <v>1</v>
      </c>
      <c r="R112" s="60" t="s">
        <v>267</v>
      </c>
      <c r="S112" s="30"/>
      <c r="T112" s="33"/>
      <c r="U112" s="29"/>
      <c r="V112" s="33"/>
      <c r="W112" s="30"/>
    </row>
    <row r="113" spans="1:23" s="10" customFormat="1" ht="41.25" customHeight="1">
      <c r="A113" s="48" t="s">
        <v>755</v>
      </c>
      <c r="B113" s="49">
        <v>42268</v>
      </c>
      <c r="C113" s="48" t="s">
        <v>34</v>
      </c>
      <c r="D113" s="48" t="s">
        <v>243</v>
      </c>
      <c r="E113" s="48" t="s">
        <v>91</v>
      </c>
      <c r="F113" s="48" t="s">
        <v>756</v>
      </c>
      <c r="G113" s="48" t="s">
        <v>192</v>
      </c>
      <c r="H113" s="50" t="s">
        <v>549</v>
      </c>
      <c r="I113" s="51" t="str">
        <f t="shared" si="56"/>
        <v>ATENDIDO</v>
      </c>
      <c r="J113" s="61">
        <v>879</v>
      </c>
      <c r="K113" s="53">
        <v>42285</v>
      </c>
      <c r="L113" s="53">
        <v>42278</v>
      </c>
      <c r="M113" s="54">
        <v>1</v>
      </c>
      <c r="N113" s="55" t="s">
        <v>266</v>
      </c>
      <c r="O113" s="63" t="s">
        <v>540</v>
      </c>
      <c r="P113" s="54">
        <f t="shared" ref="P113" si="59">IF(L113=0,0,(NETWORKDAYS(B113,L113)))</f>
        <v>9</v>
      </c>
      <c r="Q113" s="54">
        <v>1</v>
      </c>
      <c r="R113" s="60" t="s">
        <v>267</v>
      </c>
      <c r="S113" s="30"/>
      <c r="T113" s="33"/>
      <c r="U113" s="29"/>
      <c r="V113" s="33"/>
      <c r="W113" s="30"/>
    </row>
    <row r="114" spans="1:23" s="10" customFormat="1" ht="41.25" customHeight="1">
      <c r="A114" s="48" t="s">
        <v>752</v>
      </c>
      <c r="B114" s="49">
        <v>42265</v>
      </c>
      <c r="C114" s="48" t="s">
        <v>18</v>
      </c>
      <c r="D114" s="48" t="s">
        <v>243</v>
      </c>
      <c r="E114" s="48" t="s">
        <v>301</v>
      </c>
      <c r="F114" s="48" t="s">
        <v>753</v>
      </c>
      <c r="G114" s="48" t="s">
        <v>192</v>
      </c>
      <c r="H114" s="50" t="s">
        <v>549</v>
      </c>
      <c r="I114" s="51" t="str">
        <f t="shared" ref="I114:I119" si="60">IF(J114=0,"PENDIENTE",IF(J114="C","CORREO ENVIADO",IF(J114="OF","OFICIO EN FIRMA",IF(J114="PF","PLANOS EN FIRMA",IF(J114="OM","OFICIO MAQUINADO","ATENDIDO")))))</f>
        <v>ATENDIDO</v>
      </c>
      <c r="J114" s="61">
        <v>858</v>
      </c>
      <c r="K114" s="53">
        <v>42283</v>
      </c>
      <c r="L114" s="53">
        <v>42272</v>
      </c>
      <c r="M114" s="54">
        <v>1</v>
      </c>
      <c r="N114" s="55" t="s">
        <v>266</v>
      </c>
      <c r="O114" s="63" t="s">
        <v>540</v>
      </c>
      <c r="P114" s="54">
        <f>IF(L114=0,0,(NETWORKDAYS(B114,L114)))</f>
        <v>6</v>
      </c>
      <c r="Q114" s="54">
        <v>1</v>
      </c>
      <c r="R114" s="60" t="s">
        <v>267</v>
      </c>
      <c r="S114" s="30"/>
      <c r="T114" s="33"/>
      <c r="U114" s="29"/>
      <c r="V114" s="33"/>
      <c r="W114" s="30"/>
    </row>
    <row r="115" spans="1:23" s="10" customFormat="1" ht="41.25" customHeight="1">
      <c r="A115" s="48" t="s">
        <v>750</v>
      </c>
      <c r="B115" s="49">
        <v>42265</v>
      </c>
      <c r="C115" s="48" t="s">
        <v>46</v>
      </c>
      <c r="D115" s="48" t="s">
        <v>243</v>
      </c>
      <c r="E115" s="48" t="s">
        <v>335</v>
      </c>
      <c r="F115" s="48" t="s">
        <v>751</v>
      </c>
      <c r="G115" s="48" t="s">
        <v>162</v>
      </c>
      <c r="H115" s="50" t="s">
        <v>170</v>
      </c>
      <c r="I115" s="51" t="str">
        <f t="shared" si="60"/>
        <v>ATENDIDO</v>
      </c>
      <c r="J115" s="61" t="s">
        <v>408</v>
      </c>
      <c r="K115" s="53">
        <v>42286</v>
      </c>
      <c r="L115" s="53">
        <v>42276</v>
      </c>
      <c r="M115" s="54">
        <v>1</v>
      </c>
      <c r="N115" s="55" t="s">
        <v>266</v>
      </c>
      <c r="O115" s="63" t="s">
        <v>540</v>
      </c>
      <c r="P115" s="54">
        <f t="shared" ref="P115:P116" si="61">IF(L115=0,0,(NETWORKDAYS(B115,L115)))</f>
        <v>8</v>
      </c>
      <c r="Q115" s="54">
        <v>1</v>
      </c>
      <c r="R115" s="60" t="s">
        <v>267</v>
      </c>
      <c r="S115" s="30"/>
      <c r="T115" s="33"/>
      <c r="U115" s="29"/>
      <c r="V115" s="33"/>
      <c r="W115" s="30"/>
    </row>
    <row r="116" spans="1:23" s="10" customFormat="1" ht="41.25" customHeight="1">
      <c r="A116" s="48" t="s">
        <v>748</v>
      </c>
      <c r="B116" s="49">
        <v>42264</v>
      </c>
      <c r="C116" s="48" t="s">
        <v>22</v>
      </c>
      <c r="D116" s="48" t="s">
        <v>243</v>
      </c>
      <c r="E116" s="48" t="s">
        <v>269</v>
      </c>
      <c r="F116" s="48" t="s">
        <v>749</v>
      </c>
      <c r="G116" s="48" t="s">
        <v>145</v>
      </c>
      <c r="H116" s="50" t="s">
        <v>170</v>
      </c>
      <c r="I116" s="51" t="str">
        <f t="shared" si="60"/>
        <v>ATENDIDO</v>
      </c>
      <c r="J116" s="67" t="s">
        <v>408</v>
      </c>
      <c r="K116" s="53">
        <v>42277</v>
      </c>
      <c r="L116" s="53">
        <v>42276</v>
      </c>
      <c r="M116" s="54">
        <v>1</v>
      </c>
      <c r="N116" s="55" t="s">
        <v>266</v>
      </c>
      <c r="O116" s="63" t="s">
        <v>540</v>
      </c>
      <c r="P116" s="54">
        <f t="shared" si="61"/>
        <v>9</v>
      </c>
      <c r="Q116" s="54">
        <v>1</v>
      </c>
      <c r="R116" s="60" t="s">
        <v>267</v>
      </c>
      <c r="S116" s="30"/>
      <c r="T116" s="33"/>
      <c r="U116" s="29"/>
      <c r="V116" s="33"/>
      <c r="W116" s="30"/>
    </row>
    <row r="117" spans="1:23" s="10" customFormat="1" ht="41.25" customHeight="1">
      <c r="A117" s="48" t="s">
        <v>747</v>
      </c>
      <c r="B117" s="49">
        <v>42262</v>
      </c>
      <c r="C117" s="48" t="s">
        <v>68</v>
      </c>
      <c r="D117" s="48" t="s">
        <v>243</v>
      </c>
      <c r="E117" s="48" t="s">
        <v>129</v>
      </c>
      <c r="F117" s="48" t="s">
        <v>461</v>
      </c>
      <c r="G117" s="48" t="s">
        <v>156</v>
      </c>
      <c r="H117" s="50" t="s">
        <v>170</v>
      </c>
      <c r="I117" s="51" t="str">
        <f t="shared" si="60"/>
        <v>ATENDIDO</v>
      </c>
      <c r="J117" s="61">
        <v>814</v>
      </c>
      <c r="K117" s="53">
        <v>42268</v>
      </c>
      <c r="L117" s="53">
        <v>42268</v>
      </c>
      <c r="M117" s="54">
        <v>1</v>
      </c>
      <c r="N117" s="55" t="s">
        <v>266</v>
      </c>
      <c r="O117" s="63" t="s">
        <v>540</v>
      </c>
      <c r="P117" s="54">
        <f t="shared" ref="P117:P119" si="62">IF(L117=0,0,(NETWORKDAYS(B117,L117)))</f>
        <v>5</v>
      </c>
      <c r="Q117" s="54">
        <v>1</v>
      </c>
      <c r="R117" s="60" t="s">
        <v>267</v>
      </c>
      <c r="S117" s="30"/>
      <c r="T117" s="33"/>
      <c r="U117" s="29"/>
      <c r="V117" s="33"/>
      <c r="W117" s="30"/>
    </row>
    <row r="118" spans="1:23" s="10" customFormat="1" ht="41.25" customHeight="1">
      <c r="A118" s="48" t="s">
        <v>745</v>
      </c>
      <c r="B118" s="49">
        <v>42261</v>
      </c>
      <c r="C118" s="48" t="s">
        <v>32</v>
      </c>
      <c r="D118" s="48" t="s">
        <v>243</v>
      </c>
      <c r="E118" s="48" t="s">
        <v>83</v>
      </c>
      <c r="F118" s="48" t="s">
        <v>746</v>
      </c>
      <c r="G118" s="48" t="s">
        <v>192</v>
      </c>
      <c r="H118" s="50" t="s">
        <v>172</v>
      </c>
      <c r="I118" s="51" t="str">
        <f t="shared" si="60"/>
        <v>ATENDIDO</v>
      </c>
      <c r="J118" s="61">
        <v>881</v>
      </c>
      <c r="K118" s="53">
        <v>42285</v>
      </c>
      <c r="L118" s="66">
        <v>42278</v>
      </c>
      <c r="M118" s="54">
        <v>1</v>
      </c>
      <c r="N118" s="55" t="s">
        <v>266</v>
      </c>
      <c r="O118" s="63" t="s">
        <v>540</v>
      </c>
      <c r="P118" s="54">
        <f t="shared" si="62"/>
        <v>14</v>
      </c>
      <c r="Q118" s="54">
        <v>1</v>
      </c>
      <c r="R118" s="60" t="s">
        <v>267</v>
      </c>
      <c r="S118" s="30"/>
      <c r="T118" s="33"/>
      <c r="U118" s="29"/>
      <c r="V118" s="33"/>
      <c r="W118" s="30"/>
    </row>
    <row r="119" spans="1:23" s="10" customFormat="1" ht="41.25" customHeight="1">
      <c r="A119" s="48" t="s">
        <v>743</v>
      </c>
      <c r="B119" s="49">
        <v>42261</v>
      </c>
      <c r="C119" s="48" t="s">
        <v>12</v>
      </c>
      <c r="D119" s="48" t="s">
        <v>243</v>
      </c>
      <c r="E119" s="48" t="s">
        <v>96</v>
      </c>
      <c r="F119" s="48" t="s">
        <v>744</v>
      </c>
      <c r="G119" s="48" t="s">
        <v>192</v>
      </c>
      <c r="H119" s="50" t="s">
        <v>170</v>
      </c>
      <c r="I119" s="51" t="str">
        <f t="shared" si="60"/>
        <v>ATENDIDO</v>
      </c>
      <c r="J119" s="61">
        <v>813</v>
      </c>
      <c r="K119" s="53">
        <v>42265</v>
      </c>
      <c r="L119" s="53">
        <v>42265</v>
      </c>
      <c r="M119" s="54">
        <v>1</v>
      </c>
      <c r="N119" s="55" t="s">
        <v>266</v>
      </c>
      <c r="O119" s="63" t="s">
        <v>540</v>
      </c>
      <c r="P119" s="54">
        <f t="shared" si="62"/>
        <v>5</v>
      </c>
      <c r="Q119" s="54">
        <v>1</v>
      </c>
      <c r="R119" s="60" t="s">
        <v>267</v>
      </c>
      <c r="S119" s="30"/>
      <c r="T119" s="33"/>
      <c r="U119" s="29"/>
      <c r="V119" s="33"/>
      <c r="W119" s="30"/>
    </row>
    <row r="120" spans="1:23" s="10" customFormat="1" ht="41.25" customHeight="1">
      <c r="A120" s="48" t="s">
        <v>740</v>
      </c>
      <c r="B120" s="49">
        <v>42257</v>
      </c>
      <c r="C120" s="48" t="s">
        <v>303</v>
      </c>
      <c r="D120" s="48" t="s">
        <v>56</v>
      </c>
      <c r="E120" s="48" t="s">
        <v>741</v>
      </c>
      <c r="F120" s="48" t="s">
        <v>742</v>
      </c>
      <c r="G120" s="48" t="s">
        <v>144</v>
      </c>
      <c r="H120" s="50" t="s">
        <v>549</v>
      </c>
      <c r="I120" s="51" t="str">
        <f t="shared" ref="I120:I125" si="63">IF(J120=0,"PENDIENTE",IF(J120="C","CORREO ENVIADO",IF(J120="OF","OFICIO EN FIRMA",IF(J120="PF","PLANOS EN FIRMA",IF(J120="OM","OFICIO MAQUINADO","ATENDIDO")))))</f>
        <v>ATENDIDO</v>
      </c>
      <c r="J120" s="61" t="s">
        <v>408</v>
      </c>
      <c r="K120" s="53">
        <v>42283</v>
      </c>
      <c r="L120" s="53">
        <v>42268</v>
      </c>
      <c r="M120" s="54">
        <v>1</v>
      </c>
      <c r="N120" s="55" t="s">
        <v>266</v>
      </c>
      <c r="O120" s="63" t="s">
        <v>540</v>
      </c>
      <c r="P120" s="54">
        <f t="shared" ref="P120:P121" si="64">IF(L120=0,0,(NETWORKDAYS(B120,L120)))</f>
        <v>8</v>
      </c>
      <c r="Q120" s="54">
        <v>1</v>
      </c>
      <c r="R120" s="60" t="s">
        <v>267</v>
      </c>
      <c r="S120" s="30"/>
      <c r="T120" s="33"/>
      <c r="U120" s="29"/>
      <c r="V120" s="33"/>
      <c r="W120" s="30"/>
    </row>
    <row r="121" spans="1:23" s="10" customFormat="1" ht="42" customHeight="1">
      <c r="A121" s="48" t="s">
        <v>738</v>
      </c>
      <c r="B121" s="49">
        <v>42258</v>
      </c>
      <c r="C121" s="48" t="s">
        <v>13</v>
      </c>
      <c r="D121" s="48" t="s">
        <v>56</v>
      </c>
      <c r="E121" s="48" t="s">
        <v>76</v>
      </c>
      <c r="F121" s="48" t="s">
        <v>739</v>
      </c>
      <c r="G121" s="48" t="s">
        <v>192</v>
      </c>
      <c r="H121" s="50" t="s">
        <v>170</v>
      </c>
      <c r="I121" s="51" t="str">
        <f t="shared" si="63"/>
        <v>ATENDIDO</v>
      </c>
      <c r="J121" s="61">
        <v>810</v>
      </c>
      <c r="K121" s="53">
        <v>42268</v>
      </c>
      <c r="L121" s="53">
        <v>42268</v>
      </c>
      <c r="M121" s="54">
        <v>1</v>
      </c>
      <c r="N121" s="55" t="s">
        <v>266</v>
      </c>
      <c r="O121" s="63" t="s">
        <v>540</v>
      </c>
      <c r="P121" s="54">
        <f t="shared" si="64"/>
        <v>7</v>
      </c>
      <c r="Q121" s="54">
        <v>1</v>
      </c>
      <c r="R121" s="60" t="s">
        <v>267</v>
      </c>
      <c r="S121" s="30"/>
      <c r="T121" s="33"/>
      <c r="U121" s="29"/>
      <c r="V121" s="33"/>
      <c r="W121" s="30"/>
    </row>
    <row r="122" spans="1:23" s="10" customFormat="1" ht="49.5" customHeight="1">
      <c r="A122" s="48" t="s">
        <v>737</v>
      </c>
      <c r="B122" s="49">
        <v>42256</v>
      </c>
      <c r="C122" s="48" t="s">
        <v>69</v>
      </c>
      <c r="D122" s="48" t="s">
        <v>243</v>
      </c>
      <c r="E122" s="48" t="s">
        <v>82</v>
      </c>
      <c r="F122" s="48" t="s">
        <v>634</v>
      </c>
      <c r="G122" s="48" t="s">
        <v>192</v>
      </c>
      <c r="H122" s="50" t="s">
        <v>170</v>
      </c>
      <c r="I122" s="51" t="str">
        <f t="shared" si="63"/>
        <v>ATENDIDO</v>
      </c>
      <c r="J122" s="61">
        <v>812</v>
      </c>
      <c r="K122" s="53">
        <v>42268</v>
      </c>
      <c r="L122" s="53">
        <v>42268</v>
      </c>
      <c r="M122" s="54">
        <v>1</v>
      </c>
      <c r="N122" s="55" t="s">
        <v>266</v>
      </c>
      <c r="O122" s="63" t="s">
        <v>540</v>
      </c>
      <c r="P122" s="54">
        <f t="shared" ref="P122" si="65">IF(L122=0,0,(NETWORKDAYS(B122,L122)))</f>
        <v>9</v>
      </c>
      <c r="Q122" s="54">
        <v>1</v>
      </c>
      <c r="R122" s="60" t="s">
        <v>267</v>
      </c>
      <c r="S122" s="30"/>
      <c r="T122" s="33"/>
      <c r="U122" s="29"/>
      <c r="V122" s="33"/>
      <c r="W122" s="30"/>
    </row>
    <row r="123" spans="1:23" s="10" customFormat="1" ht="42" customHeight="1">
      <c r="A123" s="48" t="s">
        <v>736</v>
      </c>
      <c r="B123" s="49">
        <v>42255</v>
      </c>
      <c r="C123" s="48" t="s">
        <v>18</v>
      </c>
      <c r="D123" s="48" t="s">
        <v>243</v>
      </c>
      <c r="E123" s="48" t="s">
        <v>652</v>
      </c>
      <c r="F123" s="48" t="s">
        <v>653</v>
      </c>
      <c r="G123" s="48" t="s">
        <v>192</v>
      </c>
      <c r="H123" s="50" t="s">
        <v>549</v>
      </c>
      <c r="I123" s="51" t="str">
        <f t="shared" si="63"/>
        <v>ATENDIDO</v>
      </c>
      <c r="J123" s="61" t="s">
        <v>408</v>
      </c>
      <c r="K123" s="53">
        <v>42289</v>
      </c>
      <c r="L123" s="53">
        <v>42258</v>
      </c>
      <c r="M123" s="54">
        <v>1</v>
      </c>
      <c r="N123" s="55" t="s">
        <v>266</v>
      </c>
      <c r="O123" s="63" t="s">
        <v>540</v>
      </c>
      <c r="P123" s="54">
        <f t="shared" ref="P123" si="66">IF(L123=0,0,(NETWORKDAYS(B123,L123)))</f>
        <v>4</v>
      </c>
      <c r="Q123" s="54">
        <v>1</v>
      </c>
      <c r="R123" s="60" t="s">
        <v>267</v>
      </c>
      <c r="S123" s="30"/>
      <c r="T123" s="33"/>
      <c r="U123" s="29"/>
      <c r="V123" s="33"/>
      <c r="W123" s="30"/>
    </row>
    <row r="124" spans="1:23" s="10" customFormat="1" ht="42" customHeight="1">
      <c r="A124" s="48" t="s">
        <v>735</v>
      </c>
      <c r="B124" s="49">
        <v>42255</v>
      </c>
      <c r="C124" s="48" t="s">
        <v>18</v>
      </c>
      <c r="D124" s="48" t="s">
        <v>243</v>
      </c>
      <c r="E124" s="48" t="s">
        <v>302</v>
      </c>
      <c r="F124" s="48" t="s">
        <v>552</v>
      </c>
      <c r="G124" s="48" t="s">
        <v>192</v>
      </c>
      <c r="H124" s="50" t="s">
        <v>170</v>
      </c>
      <c r="I124" s="51" t="str">
        <f t="shared" si="63"/>
        <v>ATENDIDO</v>
      </c>
      <c r="J124" s="61">
        <v>816</v>
      </c>
      <c r="K124" s="53">
        <v>42268</v>
      </c>
      <c r="L124" s="53">
        <v>42268</v>
      </c>
      <c r="M124" s="54">
        <v>1</v>
      </c>
      <c r="N124" s="55" t="s">
        <v>266</v>
      </c>
      <c r="O124" s="63" t="s">
        <v>540</v>
      </c>
      <c r="P124" s="54">
        <f t="shared" ref="P124:P125" si="67">IF(L124=0,0,(NETWORKDAYS(B124,L124)))</f>
        <v>10</v>
      </c>
      <c r="Q124" s="54">
        <v>1</v>
      </c>
      <c r="R124" s="60" t="s">
        <v>267</v>
      </c>
      <c r="S124" s="30"/>
      <c r="T124" s="33"/>
      <c r="U124" s="29"/>
      <c r="V124" s="33"/>
      <c r="W124" s="30"/>
    </row>
    <row r="125" spans="1:23" s="10" customFormat="1" ht="42" customHeight="1">
      <c r="A125" s="48" t="s">
        <v>734</v>
      </c>
      <c r="B125" s="49">
        <v>42255</v>
      </c>
      <c r="C125" s="48" t="s">
        <v>18</v>
      </c>
      <c r="D125" s="48" t="s">
        <v>243</v>
      </c>
      <c r="E125" s="48" t="s">
        <v>302</v>
      </c>
      <c r="F125" s="48" t="s">
        <v>552</v>
      </c>
      <c r="G125" s="48" t="s">
        <v>192</v>
      </c>
      <c r="H125" s="50" t="s">
        <v>170</v>
      </c>
      <c r="I125" s="51" t="str">
        <f t="shared" si="63"/>
        <v>ATENDIDO</v>
      </c>
      <c r="J125" s="61">
        <v>815</v>
      </c>
      <c r="K125" s="53">
        <v>42265</v>
      </c>
      <c r="L125" s="53">
        <v>42265</v>
      </c>
      <c r="M125" s="54">
        <v>1</v>
      </c>
      <c r="N125" s="55" t="s">
        <v>266</v>
      </c>
      <c r="O125" s="63" t="s">
        <v>540</v>
      </c>
      <c r="P125" s="54">
        <f t="shared" si="67"/>
        <v>9</v>
      </c>
      <c r="Q125" s="54">
        <v>1</v>
      </c>
      <c r="R125" s="60" t="s">
        <v>267</v>
      </c>
      <c r="S125" s="30"/>
      <c r="T125" s="33"/>
      <c r="U125" s="29"/>
      <c r="V125" s="33"/>
      <c r="W125" s="30"/>
    </row>
    <row r="126" spans="1:23" s="10" customFormat="1" ht="36.75" customHeight="1">
      <c r="A126" s="48" t="s">
        <v>733</v>
      </c>
      <c r="B126" s="49">
        <v>42254</v>
      </c>
      <c r="C126" s="48" t="s">
        <v>16</v>
      </c>
      <c r="D126" s="48" t="s">
        <v>243</v>
      </c>
      <c r="E126" s="48" t="s">
        <v>83</v>
      </c>
      <c r="F126" s="48" t="s">
        <v>711</v>
      </c>
      <c r="G126" s="48" t="s">
        <v>192</v>
      </c>
      <c r="H126" s="50" t="s">
        <v>172</v>
      </c>
      <c r="I126" s="51" t="str">
        <f t="shared" ref="I126:I132" si="68">IF(J126=0,"PENDIENTE",IF(J126="C","CORREO ENVIADO",IF(J126="OF","OFICIO EN FIRMA",IF(J126="PF","PLANOS EN FIRMA",IF(J126="OM","OFICIO MAQUINADO","ATENDIDO")))))</f>
        <v>ATENDIDO</v>
      </c>
      <c r="J126" s="61">
        <v>806</v>
      </c>
      <c r="K126" s="53">
        <v>42258</v>
      </c>
      <c r="L126" s="53">
        <v>42258</v>
      </c>
      <c r="M126" s="54">
        <v>1</v>
      </c>
      <c r="N126" s="55" t="s">
        <v>266</v>
      </c>
      <c r="O126" s="63" t="s">
        <v>540</v>
      </c>
      <c r="P126" s="54">
        <f t="shared" ref="P126:P131" si="69">IF(L126=0,0,(NETWORKDAYS(B126,L126)))</f>
        <v>5</v>
      </c>
      <c r="Q126" s="54">
        <v>1</v>
      </c>
      <c r="R126" s="60" t="s">
        <v>267</v>
      </c>
      <c r="S126" s="30"/>
      <c r="T126" s="33"/>
      <c r="U126" s="29"/>
      <c r="V126" s="33"/>
      <c r="W126" s="30"/>
    </row>
    <row r="127" spans="1:23" s="10" customFormat="1" ht="36.75" customHeight="1">
      <c r="A127" s="48" t="s">
        <v>732</v>
      </c>
      <c r="B127" s="49">
        <v>42254</v>
      </c>
      <c r="C127" s="48" t="s">
        <v>18</v>
      </c>
      <c r="D127" s="48" t="s">
        <v>243</v>
      </c>
      <c r="E127" s="48" t="s">
        <v>83</v>
      </c>
      <c r="F127" s="48" t="s">
        <v>711</v>
      </c>
      <c r="G127" s="48" t="s">
        <v>192</v>
      </c>
      <c r="H127" s="50" t="s">
        <v>172</v>
      </c>
      <c r="I127" s="51" t="str">
        <f t="shared" si="68"/>
        <v>ATENDIDO</v>
      </c>
      <c r="J127" s="61">
        <v>829</v>
      </c>
      <c r="K127" s="53">
        <v>42268</v>
      </c>
      <c r="L127" s="53">
        <v>42256</v>
      </c>
      <c r="M127" s="54">
        <v>1</v>
      </c>
      <c r="N127" s="55" t="s">
        <v>266</v>
      </c>
      <c r="O127" s="63" t="s">
        <v>540</v>
      </c>
      <c r="P127" s="54">
        <f t="shared" si="69"/>
        <v>3</v>
      </c>
      <c r="Q127" s="54">
        <v>1</v>
      </c>
      <c r="R127" s="60" t="s">
        <v>267</v>
      </c>
      <c r="S127" s="30"/>
      <c r="T127" s="33"/>
      <c r="U127" s="29"/>
      <c r="V127" s="33"/>
      <c r="W127" s="30"/>
    </row>
    <row r="128" spans="1:23" s="10" customFormat="1" ht="36.75" customHeight="1">
      <c r="A128" s="48" t="s">
        <v>730</v>
      </c>
      <c r="B128" s="49">
        <v>42254</v>
      </c>
      <c r="C128" s="48" t="s">
        <v>33</v>
      </c>
      <c r="D128" s="48" t="s">
        <v>243</v>
      </c>
      <c r="E128" s="48" t="s">
        <v>94</v>
      </c>
      <c r="F128" s="48" t="s">
        <v>731</v>
      </c>
      <c r="G128" s="48" t="s">
        <v>148</v>
      </c>
      <c r="H128" s="50" t="s">
        <v>172</v>
      </c>
      <c r="I128" s="51" t="str">
        <f t="shared" si="68"/>
        <v>ATENDIDO</v>
      </c>
      <c r="J128" s="61">
        <v>826</v>
      </c>
      <c r="K128" s="53">
        <v>42265</v>
      </c>
      <c r="L128" s="53">
        <v>42265</v>
      </c>
      <c r="M128" s="54">
        <v>1</v>
      </c>
      <c r="N128" s="55" t="s">
        <v>266</v>
      </c>
      <c r="O128" s="63" t="s">
        <v>540</v>
      </c>
      <c r="P128" s="54">
        <f t="shared" si="69"/>
        <v>10</v>
      </c>
      <c r="Q128" s="54">
        <v>1</v>
      </c>
      <c r="R128" s="60" t="s">
        <v>267</v>
      </c>
      <c r="S128" s="30"/>
      <c r="T128" s="33"/>
      <c r="U128" s="29"/>
      <c r="V128" s="33"/>
      <c r="W128" s="30"/>
    </row>
    <row r="129" spans="1:23" s="10" customFormat="1" ht="36.75" customHeight="1">
      <c r="A129" s="48" t="s">
        <v>729</v>
      </c>
      <c r="B129" s="49">
        <v>42254</v>
      </c>
      <c r="C129" s="48" t="s">
        <v>18</v>
      </c>
      <c r="D129" s="48" t="s">
        <v>243</v>
      </c>
      <c r="E129" s="48" t="s">
        <v>94</v>
      </c>
      <c r="F129" s="48" t="s">
        <v>546</v>
      </c>
      <c r="G129" s="48" t="s">
        <v>192</v>
      </c>
      <c r="H129" s="50" t="s">
        <v>172</v>
      </c>
      <c r="I129" s="51" t="str">
        <f t="shared" si="68"/>
        <v>ATENDIDO</v>
      </c>
      <c r="J129" s="61" t="s">
        <v>408</v>
      </c>
      <c r="K129" s="53">
        <v>42279</v>
      </c>
      <c r="L129" s="53">
        <v>42262</v>
      </c>
      <c r="M129" s="54">
        <v>1</v>
      </c>
      <c r="N129" s="55" t="s">
        <v>266</v>
      </c>
      <c r="O129" s="63" t="s">
        <v>540</v>
      </c>
      <c r="P129" s="54">
        <f t="shared" si="69"/>
        <v>7</v>
      </c>
      <c r="Q129" s="54">
        <v>1</v>
      </c>
      <c r="R129" s="60" t="s">
        <v>267</v>
      </c>
      <c r="S129" s="30"/>
      <c r="T129" s="33"/>
      <c r="U129" s="29"/>
      <c r="V129" s="33"/>
      <c r="W129" s="30"/>
    </row>
    <row r="130" spans="1:23" s="10" customFormat="1" ht="36.75" customHeight="1">
      <c r="A130" s="48" t="s">
        <v>728</v>
      </c>
      <c r="B130" s="49">
        <v>42254</v>
      </c>
      <c r="C130" s="48" t="s">
        <v>32</v>
      </c>
      <c r="D130" s="48" t="s">
        <v>243</v>
      </c>
      <c r="E130" s="48" t="s">
        <v>94</v>
      </c>
      <c r="F130" s="48" t="s">
        <v>546</v>
      </c>
      <c r="G130" s="48" t="s">
        <v>192</v>
      </c>
      <c r="H130" s="50" t="s">
        <v>172</v>
      </c>
      <c r="I130" s="51" t="str">
        <f t="shared" si="68"/>
        <v>ATENDIDO</v>
      </c>
      <c r="J130" s="61" t="s">
        <v>408</v>
      </c>
      <c r="K130" s="53">
        <v>42279</v>
      </c>
      <c r="L130" s="53">
        <v>42262</v>
      </c>
      <c r="M130" s="54">
        <v>1</v>
      </c>
      <c r="N130" s="55" t="s">
        <v>266</v>
      </c>
      <c r="O130" s="63" t="s">
        <v>540</v>
      </c>
      <c r="P130" s="54">
        <f t="shared" si="69"/>
        <v>7</v>
      </c>
      <c r="Q130" s="54">
        <v>1</v>
      </c>
      <c r="R130" s="60" t="s">
        <v>267</v>
      </c>
      <c r="S130" s="30"/>
      <c r="T130" s="33"/>
      <c r="U130" s="29"/>
      <c r="V130" s="33"/>
      <c r="W130" s="30"/>
    </row>
    <row r="131" spans="1:23" s="10" customFormat="1" ht="36.75" customHeight="1">
      <c r="A131" s="48" t="s">
        <v>727</v>
      </c>
      <c r="B131" s="49">
        <v>42254</v>
      </c>
      <c r="C131" s="48" t="s">
        <v>16</v>
      </c>
      <c r="D131" s="48" t="s">
        <v>243</v>
      </c>
      <c r="E131" s="48" t="s">
        <v>94</v>
      </c>
      <c r="F131" s="48" t="s">
        <v>546</v>
      </c>
      <c r="G131" s="48" t="s">
        <v>192</v>
      </c>
      <c r="H131" s="50" t="s">
        <v>172</v>
      </c>
      <c r="I131" s="51" t="str">
        <f t="shared" si="68"/>
        <v>ATENDIDO</v>
      </c>
      <c r="J131" s="61">
        <v>811</v>
      </c>
      <c r="K131" s="53">
        <v>42268</v>
      </c>
      <c r="L131" s="53">
        <v>42268</v>
      </c>
      <c r="M131" s="54">
        <v>1</v>
      </c>
      <c r="N131" s="55" t="s">
        <v>266</v>
      </c>
      <c r="O131" s="63" t="s">
        <v>540</v>
      </c>
      <c r="P131" s="54">
        <f t="shared" si="69"/>
        <v>11</v>
      </c>
      <c r="Q131" s="54">
        <v>1</v>
      </c>
      <c r="R131" s="60" t="s">
        <v>267</v>
      </c>
      <c r="S131" s="30"/>
      <c r="T131" s="33"/>
      <c r="U131" s="29"/>
      <c r="V131" s="33"/>
      <c r="W131" s="30"/>
    </row>
    <row r="132" spans="1:23" s="10" customFormat="1" ht="30" customHeight="1">
      <c r="A132" s="48" t="s">
        <v>726</v>
      </c>
      <c r="B132" s="49">
        <v>42251</v>
      </c>
      <c r="C132" s="48" t="s">
        <v>22</v>
      </c>
      <c r="D132" s="48" t="s">
        <v>243</v>
      </c>
      <c r="E132" s="48" t="s">
        <v>86</v>
      </c>
      <c r="F132" s="48" t="s">
        <v>526</v>
      </c>
      <c r="G132" s="48" t="s">
        <v>145</v>
      </c>
      <c r="H132" s="50" t="s">
        <v>172</v>
      </c>
      <c r="I132" s="51" t="str">
        <f t="shared" si="68"/>
        <v>ATENDIDO</v>
      </c>
      <c r="J132" s="61" t="s">
        <v>408</v>
      </c>
      <c r="K132" s="53">
        <v>42257</v>
      </c>
      <c r="L132" s="53">
        <v>42257</v>
      </c>
      <c r="M132" s="54">
        <v>1</v>
      </c>
      <c r="N132" s="55" t="s">
        <v>266</v>
      </c>
      <c r="O132" s="63" t="s">
        <v>540</v>
      </c>
      <c r="P132" s="54">
        <f t="shared" ref="P132:P135" si="70">IF(L132=0,0,(NETWORKDAYS(B132,L132)))</f>
        <v>5</v>
      </c>
      <c r="Q132" s="54">
        <v>1</v>
      </c>
      <c r="R132" s="60" t="s">
        <v>267</v>
      </c>
      <c r="S132" s="30"/>
      <c r="T132" s="33"/>
      <c r="U132" s="29"/>
      <c r="V132" s="33"/>
      <c r="W132" s="30"/>
    </row>
    <row r="133" spans="1:23" s="10" customFormat="1" ht="30" customHeight="1">
      <c r="A133" s="48" t="s">
        <v>725</v>
      </c>
      <c r="B133" s="49">
        <v>42250</v>
      </c>
      <c r="C133" s="48" t="s">
        <v>48</v>
      </c>
      <c r="D133" s="48" t="s">
        <v>243</v>
      </c>
      <c r="E133" s="48" t="s">
        <v>94</v>
      </c>
      <c r="F133" s="48" t="s">
        <v>546</v>
      </c>
      <c r="G133" s="48" t="s">
        <v>192</v>
      </c>
      <c r="H133" s="50" t="s">
        <v>170</v>
      </c>
      <c r="I133" s="51" t="str">
        <f t="shared" ref="I133:I138" si="71">IF(J133=0,"PENDIENTE",IF(J133="C","CORREO ENVIADO",IF(J133="OF","OFICIO EN FIRMA",IF(J133="PF","PLANOS EN FIRMA",IF(J133="OM","OFICIO MAQUINADO","ATENDIDO")))))</f>
        <v>ATENDIDO</v>
      </c>
      <c r="J133" s="61">
        <v>783</v>
      </c>
      <c r="K133" s="53">
        <v>42254</v>
      </c>
      <c r="L133" s="53">
        <v>42254</v>
      </c>
      <c r="M133" s="54">
        <v>1</v>
      </c>
      <c r="N133" s="55" t="s">
        <v>266</v>
      </c>
      <c r="O133" s="63" t="s">
        <v>540</v>
      </c>
      <c r="P133" s="54">
        <f t="shared" si="70"/>
        <v>3</v>
      </c>
      <c r="Q133" s="54">
        <v>1</v>
      </c>
      <c r="R133" s="60" t="s">
        <v>267</v>
      </c>
      <c r="S133" s="30"/>
      <c r="T133" s="33"/>
      <c r="U133" s="29"/>
      <c r="V133" s="33"/>
      <c r="W133" s="30"/>
    </row>
    <row r="134" spans="1:23" s="10" customFormat="1" ht="30" customHeight="1">
      <c r="A134" s="48" t="s">
        <v>724</v>
      </c>
      <c r="B134" s="49">
        <v>42250</v>
      </c>
      <c r="C134" s="48" t="s">
        <v>48</v>
      </c>
      <c r="D134" s="48" t="s">
        <v>243</v>
      </c>
      <c r="E134" s="48" t="s">
        <v>94</v>
      </c>
      <c r="F134" s="48" t="s">
        <v>546</v>
      </c>
      <c r="G134" s="48" t="s">
        <v>192</v>
      </c>
      <c r="H134" s="50" t="s">
        <v>170</v>
      </c>
      <c r="I134" s="51" t="str">
        <f t="shared" si="71"/>
        <v>ATENDIDO</v>
      </c>
      <c r="J134" s="61">
        <v>781</v>
      </c>
      <c r="K134" s="53">
        <v>42254</v>
      </c>
      <c r="L134" s="53">
        <v>42254</v>
      </c>
      <c r="M134" s="54">
        <v>1</v>
      </c>
      <c r="N134" s="55" t="s">
        <v>266</v>
      </c>
      <c r="O134" s="63" t="s">
        <v>540</v>
      </c>
      <c r="P134" s="54">
        <f t="shared" si="70"/>
        <v>3</v>
      </c>
      <c r="Q134" s="54">
        <v>1</v>
      </c>
      <c r="R134" s="60" t="s">
        <v>267</v>
      </c>
      <c r="S134" s="30"/>
      <c r="T134" s="33"/>
      <c r="U134" s="29"/>
      <c r="V134" s="33"/>
      <c r="W134" s="30"/>
    </row>
    <row r="135" spans="1:23" s="10" customFormat="1" ht="30" customHeight="1">
      <c r="A135" s="48" t="s">
        <v>721</v>
      </c>
      <c r="B135" s="49">
        <v>42250</v>
      </c>
      <c r="C135" s="48" t="s">
        <v>180</v>
      </c>
      <c r="D135" s="48" t="s">
        <v>10</v>
      </c>
      <c r="E135" s="48" t="s">
        <v>722</v>
      </c>
      <c r="F135" s="48" t="s">
        <v>723</v>
      </c>
      <c r="G135" s="48" t="s">
        <v>138</v>
      </c>
      <c r="H135" s="50" t="s">
        <v>170</v>
      </c>
      <c r="I135" s="51" t="str">
        <f t="shared" si="71"/>
        <v>ATENDIDO</v>
      </c>
      <c r="J135" s="61">
        <v>797</v>
      </c>
      <c r="K135" s="53">
        <v>42258</v>
      </c>
      <c r="L135" s="53">
        <v>42258</v>
      </c>
      <c r="M135" s="54">
        <v>1</v>
      </c>
      <c r="N135" s="55" t="s">
        <v>266</v>
      </c>
      <c r="O135" s="63" t="s">
        <v>540</v>
      </c>
      <c r="P135" s="54">
        <f t="shared" si="70"/>
        <v>7</v>
      </c>
      <c r="Q135" s="54">
        <v>1</v>
      </c>
      <c r="R135" s="60" t="s">
        <v>267</v>
      </c>
      <c r="S135" s="30"/>
      <c r="T135" s="33"/>
      <c r="U135" s="29"/>
      <c r="V135" s="33"/>
      <c r="W135" s="30"/>
    </row>
    <row r="136" spans="1:23" s="10" customFormat="1" ht="30" customHeight="1">
      <c r="A136" s="48" t="s">
        <v>719</v>
      </c>
      <c r="B136" s="49">
        <v>42249</v>
      </c>
      <c r="C136" s="48" t="s">
        <v>53</v>
      </c>
      <c r="D136" s="48" t="s">
        <v>243</v>
      </c>
      <c r="E136" s="48" t="s">
        <v>134</v>
      </c>
      <c r="F136" s="48" t="s">
        <v>720</v>
      </c>
      <c r="G136" s="48" t="s">
        <v>162</v>
      </c>
      <c r="H136" s="50" t="s">
        <v>170</v>
      </c>
      <c r="I136" s="51" t="str">
        <f t="shared" si="71"/>
        <v>ATENDIDO</v>
      </c>
      <c r="J136" s="61">
        <v>775</v>
      </c>
      <c r="K136" s="53">
        <v>42251</v>
      </c>
      <c r="L136" s="53">
        <v>42251</v>
      </c>
      <c r="M136" s="54">
        <v>1</v>
      </c>
      <c r="N136" s="55" t="s">
        <v>266</v>
      </c>
      <c r="O136" s="63" t="s">
        <v>540</v>
      </c>
      <c r="P136" s="54">
        <f t="shared" ref="P136" si="72">IF(L136=0,0,(NETWORKDAYS(B136,L136)))</f>
        <v>3</v>
      </c>
      <c r="Q136" s="54">
        <v>1</v>
      </c>
      <c r="R136" s="60" t="s">
        <v>267</v>
      </c>
      <c r="S136" s="30"/>
      <c r="T136" s="33"/>
      <c r="U136" s="29"/>
      <c r="V136" s="33"/>
      <c r="W136" s="30"/>
    </row>
    <row r="137" spans="1:23" s="10" customFormat="1" ht="30" customHeight="1">
      <c r="A137" s="48" t="s">
        <v>718</v>
      </c>
      <c r="B137" s="49">
        <v>42249</v>
      </c>
      <c r="C137" s="48" t="s">
        <v>36</v>
      </c>
      <c r="D137" s="48" t="s">
        <v>243</v>
      </c>
      <c r="E137" s="48" t="s">
        <v>81</v>
      </c>
      <c r="F137" s="48" t="s">
        <v>423</v>
      </c>
      <c r="G137" s="48" t="s">
        <v>424</v>
      </c>
      <c r="H137" s="50" t="s">
        <v>549</v>
      </c>
      <c r="I137" s="51" t="str">
        <f t="shared" si="71"/>
        <v>ATENDIDO</v>
      </c>
      <c r="J137" s="61">
        <v>790</v>
      </c>
      <c r="K137" s="53">
        <v>42254</v>
      </c>
      <c r="L137" s="53">
        <v>42254</v>
      </c>
      <c r="M137" s="54">
        <v>1</v>
      </c>
      <c r="N137" s="55" t="s">
        <v>266</v>
      </c>
      <c r="O137" s="63" t="s">
        <v>540</v>
      </c>
      <c r="P137" s="54">
        <f t="shared" ref="P137" si="73">IF(L137=0,0,(NETWORKDAYS(B137,L137)))</f>
        <v>4</v>
      </c>
      <c r="Q137" s="54">
        <v>1</v>
      </c>
      <c r="R137" s="60" t="s">
        <v>267</v>
      </c>
      <c r="S137" s="30"/>
      <c r="T137" s="33"/>
      <c r="U137" s="29"/>
      <c r="V137" s="33"/>
      <c r="W137" s="30"/>
    </row>
    <row r="138" spans="1:23" s="10" customFormat="1" ht="30" customHeight="1">
      <c r="A138" s="48" t="s">
        <v>714</v>
      </c>
      <c r="B138" s="49">
        <v>42244</v>
      </c>
      <c r="C138" s="48" t="s">
        <v>68</v>
      </c>
      <c r="D138" s="48" t="s">
        <v>243</v>
      </c>
      <c r="E138" s="48" t="s">
        <v>129</v>
      </c>
      <c r="F138" s="48" t="s">
        <v>715</v>
      </c>
      <c r="G138" s="48" t="s">
        <v>156</v>
      </c>
      <c r="H138" s="50" t="s">
        <v>170</v>
      </c>
      <c r="I138" s="51" t="str">
        <f t="shared" si="71"/>
        <v>ATENDIDO</v>
      </c>
      <c r="J138" s="61" t="s">
        <v>754</v>
      </c>
      <c r="K138" s="53">
        <v>42249</v>
      </c>
      <c r="L138" s="53">
        <v>42249</v>
      </c>
      <c r="M138" s="54">
        <v>1</v>
      </c>
      <c r="N138" s="55" t="s">
        <v>266</v>
      </c>
      <c r="O138" s="63" t="s">
        <v>540</v>
      </c>
      <c r="P138" s="54">
        <f t="shared" ref="P138:P147" si="74">IF(L138=0,0,(NETWORKDAYS(B138,L138)))</f>
        <v>4</v>
      </c>
      <c r="Q138" s="54">
        <v>1</v>
      </c>
      <c r="R138" s="60" t="s">
        <v>267</v>
      </c>
      <c r="S138" s="30"/>
      <c r="T138" s="33"/>
      <c r="U138" s="29"/>
      <c r="V138" s="33"/>
      <c r="W138" s="30"/>
    </row>
    <row r="139" spans="1:23" s="10" customFormat="1" ht="30" customHeight="1">
      <c r="A139" s="48" t="s">
        <v>713</v>
      </c>
      <c r="B139" s="49">
        <v>42243</v>
      </c>
      <c r="C139" s="48" t="s">
        <v>13</v>
      </c>
      <c r="D139" s="48" t="s">
        <v>56</v>
      </c>
      <c r="E139" s="48" t="s">
        <v>73</v>
      </c>
      <c r="F139" s="48" t="s">
        <v>644</v>
      </c>
      <c r="G139" s="48" t="s">
        <v>192</v>
      </c>
      <c r="H139" s="50" t="s">
        <v>170</v>
      </c>
      <c r="I139" s="51" t="str">
        <f t="shared" ref="I139:I146" si="75">IF(J139=0,"PENDIENTE",IF(J139="C","CORREO ENVIADO",IF(J139="OF","OFICIO EN FIRMA",IF(J139="PF","PLANOS EN FIRMA",IF(J139="OM","OFICIO MAQUINADO","ATENDIDO")))))</f>
        <v>ATENDIDO</v>
      </c>
      <c r="J139" s="61">
        <v>782</v>
      </c>
      <c r="K139" s="53">
        <v>42254</v>
      </c>
      <c r="L139" s="53">
        <v>42254</v>
      </c>
      <c r="M139" s="54">
        <v>1</v>
      </c>
      <c r="N139" s="55" t="s">
        <v>266</v>
      </c>
      <c r="O139" s="64">
        <f>IF(K139=0,0,(NETWORKDAYS(B139,K139)))</f>
        <v>8</v>
      </c>
      <c r="P139" s="54">
        <f t="shared" si="74"/>
        <v>8</v>
      </c>
      <c r="Q139" s="54">
        <v>1</v>
      </c>
      <c r="R139" s="60" t="s">
        <v>267</v>
      </c>
      <c r="S139" s="30"/>
      <c r="T139" s="33"/>
      <c r="U139" s="29"/>
      <c r="V139" s="33"/>
      <c r="W139" s="30"/>
    </row>
    <row r="140" spans="1:23" s="10" customFormat="1" ht="25.5">
      <c r="A140" s="48" t="s">
        <v>712</v>
      </c>
      <c r="B140" s="49">
        <v>42243</v>
      </c>
      <c r="C140" s="48" t="s">
        <v>18</v>
      </c>
      <c r="D140" s="48" t="s">
        <v>243</v>
      </c>
      <c r="E140" s="48" t="s">
        <v>83</v>
      </c>
      <c r="F140" s="48" t="s">
        <v>711</v>
      </c>
      <c r="G140" s="48" t="s">
        <v>192</v>
      </c>
      <c r="H140" s="50" t="s">
        <v>172</v>
      </c>
      <c r="I140" s="51" t="str">
        <f t="shared" si="75"/>
        <v>ATENDIDO</v>
      </c>
      <c r="J140" s="61">
        <v>825</v>
      </c>
      <c r="K140" s="53">
        <v>42268</v>
      </c>
      <c r="L140" s="53">
        <v>42256</v>
      </c>
      <c r="M140" s="54">
        <v>1</v>
      </c>
      <c r="N140" s="55" t="s">
        <v>266</v>
      </c>
      <c r="O140" s="54">
        <f t="shared" ref="O140:O142" si="76">IF(K140=0,0,(NETWORKDAYS(B140,K140)))</f>
        <v>18</v>
      </c>
      <c r="P140" s="54">
        <f t="shared" si="74"/>
        <v>10</v>
      </c>
      <c r="Q140" s="54">
        <v>1</v>
      </c>
      <c r="R140" s="60" t="s">
        <v>267</v>
      </c>
      <c r="S140" s="30"/>
      <c r="T140" s="33"/>
      <c r="U140" s="29"/>
      <c r="V140" s="33"/>
      <c r="W140" s="30"/>
    </row>
    <row r="141" spans="1:23" s="10" customFormat="1" ht="25.5">
      <c r="A141" s="48" t="s">
        <v>710</v>
      </c>
      <c r="B141" s="49">
        <v>42243</v>
      </c>
      <c r="C141" s="48" t="s">
        <v>16</v>
      </c>
      <c r="D141" s="48" t="s">
        <v>243</v>
      </c>
      <c r="E141" s="48" t="s">
        <v>83</v>
      </c>
      <c r="F141" s="48" t="s">
        <v>711</v>
      </c>
      <c r="G141" s="48" t="s">
        <v>192</v>
      </c>
      <c r="H141" s="50" t="s">
        <v>172</v>
      </c>
      <c r="I141" s="51" t="str">
        <f t="shared" si="75"/>
        <v>ATENDIDO</v>
      </c>
      <c r="J141" s="61">
        <v>828</v>
      </c>
      <c r="K141" s="53">
        <v>42271</v>
      </c>
      <c r="L141" s="53">
        <v>42271</v>
      </c>
      <c r="M141" s="54">
        <v>1</v>
      </c>
      <c r="N141" s="55" t="s">
        <v>266</v>
      </c>
      <c r="O141" s="54">
        <f t="shared" si="76"/>
        <v>21</v>
      </c>
      <c r="P141" s="54">
        <f t="shared" si="74"/>
        <v>21</v>
      </c>
      <c r="Q141" s="54">
        <v>1</v>
      </c>
      <c r="R141" s="60" t="s">
        <v>267</v>
      </c>
      <c r="S141" s="30"/>
      <c r="T141" s="33"/>
      <c r="U141" s="29"/>
      <c r="V141" s="33"/>
      <c r="W141" s="30"/>
    </row>
    <row r="142" spans="1:23" s="10" customFormat="1" ht="23.25">
      <c r="A142" s="48" t="s">
        <v>708</v>
      </c>
      <c r="B142" s="49">
        <v>42242</v>
      </c>
      <c r="C142" s="48" t="s">
        <v>13</v>
      </c>
      <c r="D142" s="48" t="s">
        <v>243</v>
      </c>
      <c r="E142" s="48" t="s">
        <v>96</v>
      </c>
      <c r="F142" s="48" t="s">
        <v>709</v>
      </c>
      <c r="G142" s="48" t="s">
        <v>192</v>
      </c>
      <c r="H142" s="50" t="s">
        <v>170</v>
      </c>
      <c r="I142" s="51" t="str">
        <f t="shared" si="75"/>
        <v>ATENDIDO</v>
      </c>
      <c r="J142" s="61">
        <v>765</v>
      </c>
      <c r="K142" s="53">
        <v>42243</v>
      </c>
      <c r="L142" s="53">
        <v>42242</v>
      </c>
      <c r="M142" s="54">
        <v>1</v>
      </c>
      <c r="N142" s="55" t="s">
        <v>266</v>
      </c>
      <c r="O142" s="54">
        <f t="shared" si="76"/>
        <v>2</v>
      </c>
      <c r="P142" s="54">
        <f t="shared" si="74"/>
        <v>1</v>
      </c>
      <c r="Q142" s="54">
        <v>1</v>
      </c>
      <c r="R142" s="60" t="s">
        <v>267</v>
      </c>
      <c r="S142" s="30"/>
      <c r="T142" s="33"/>
      <c r="U142" s="29"/>
      <c r="V142" s="33"/>
      <c r="W142" s="30"/>
    </row>
    <row r="143" spans="1:23" s="10" customFormat="1" ht="23.25">
      <c r="A143" s="48" t="s">
        <v>706</v>
      </c>
      <c r="B143" s="49">
        <v>42242</v>
      </c>
      <c r="C143" s="48" t="s">
        <v>46</v>
      </c>
      <c r="D143" s="48" t="s">
        <v>243</v>
      </c>
      <c r="E143" s="48" t="s">
        <v>335</v>
      </c>
      <c r="F143" s="48" t="s">
        <v>707</v>
      </c>
      <c r="G143" s="48" t="s">
        <v>162</v>
      </c>
      <c r="H143" s="50" t="s">
        <v>170</v>
      </c>
      <c r="I143" s="51" t="str">
        <f t="shared" si="75"/>
        <v>ATENDIDO</v>
      </c>
      <c r="J143" s="61">
        <v>766</v>
      </c>
      <c r="K143" s="53">
        <v>42244</v>
      </c>
      <c r="L143" s="53">
        <v>42242</v>
      </c>
      <c r="M143" s="54">
        <v>1</v>
      </c>
      <c r="N143" s="55" t="s">
        <v>266</v>
      </c>
      <c r="O143" s="54">
        <f t="shared" ref="O143:O145" si="77">IF(K143=0,0,(NETWORKDAYS(B143,K143)))</f>
        <v>3</v>
      </c>
      <c r="P143" s="54">
        <f t="shared" si="74"/>
        <v>1</v>
      </c>
      <c r="Q143" s="54">
        <v>1</v>
      </c>
      <c r="R143" s="60" t="s">
        <v>267</v>
      </c>
      <c r="S143" s="30"/>
      <c r="T143" s="33"/>
      <c r="U143" s="29"/>
      <c r="V143" s="33"/>
      <c r="W143" s="30"/>
    </row>
    <row r="144" spans="1:23" s="10" customFormat="1" ht="25.5">
      <c r="A144" s="48" t="s">
        <v>705</v>
      </c>
      <c r="B144" s="49">
        <v>42242</v>
      </c>
      <c r="C144" s="48" t="s">
        <v>21</v>
      </c>
      <c r="D144" s="48" t="s">
        <v>243</v>
      </c>
      <c r="E144" s="48" t="s">
        <v>89</v>
      </c>
      <c r="F144" s="48" t="s">
        <v>572</v>
      </c>
      <c r="G144" s="48" t="s">
        <v>142</v>
      </c>
      <c r="H144" s="50" t="s">
        <v>170</v>
      </c>
      <c r="I144" s="51" t="str">
        <f t="shared" si="75"/>
        <v>ATENDIDO</v>
      </c>
      <c r="J144" s="61">
        <v>763</v>
      </c>
      <c r="K144" s="53">
        <v>42243</v>
      </c>
      <c r="L144" s="53">
        <v>42242</v>
      </c>
      <c r="M144" s="54">
        <v>1</v>
      </c>
      <c r="N144" s="55" t="s">
        <v>266</v>
      </c>
      <c r="O144" s="54">
        <f t="shared" si="77"/>
        <v>2</v>
      </c>
      <c r="P144" s="54">
        <f t="shared" si="74"/>
        <v>1</v>
      </c>
      <c r="Q144" s="54">
        <v>1</v>
      </c>
      <c r="R144" s="60" t="s">
        <v>267</v>
      </c>
      <c r="S144" s="30"/>
      <c r="T144" s="33"/>
      <c r="U144" s="29"/>
      <c r="V144" s="33"/>
      <c r="W144" s="30"/>
    </row>
    <row r="145" spans="1:23" s="10" customFormat="1" ht="23.25">
      <c r="A145" s="48" t="s">
        <v>703</v>
      </c>
      <c r="B145" s="49">
        <v>42241</v>
      </c>
      <c r="C145" s="48" t="s">
        <v>18</v>
      </c>
      <c r="D145" s="48" t="s">
        <v>243</v>
      </c>
      <c r="E145" s="48" t="s">
        <v>652</v>
      </c>
      <c r="F145" s="48" t="s">
        <v>653</v>
      </c>
      <c r="G145" s="48" t="s">
        <v>192</v>
      </c>
      <c r="H145" s="50" t="s">
        <v>549</v>
      </c>
      <c r="I145" s="51" t="str">
        <f t="shared" si="75"/>
        <v>ATENDIDO</v>
      </c>
      <c r="J145" s="61" t="s">
        <v>408</v>
      </c>
      <c r="K145" s="53">
        <v>42248</v>
      </c>
      <c r="L145" s="53">
        <v>42247</v>
      </c>
      <c r="M145" s="54">
        <v>1</v>
      </c>
      <c r="N145" s="55" t="s">
        <v>266</v>
      </c>
      <c r="O145" s="54">
        <f t="shared" si="77"/>
        <v>6</v>
      </c>
      <c r="P145" s="54">
        <f t="shared" si="74"/>
        <v>5</v>
      </c>
      <c r="Q145" s="54">
        <v>1</v>
      </c>
      <c r="R145" s="60" t="s">
        <v>267</v>
      </c>
      <c r="S145" s="30"/>
      <c r="T145" s="33"/>
      <c r="U145" s="29"/>
      <c r="V145" s="33"/>
      <c r="W145" s="30"/>
    </row>
    <row r="146" spans="1:23" s="10" customFormat="1" ht="25.5">
      <c r="A146" s="48" t="s">
        <v>702</v>
      </c>
      <c r="B146" s="49">
        <v>42221</v>
      </c>
      <c r="C146" s="48" t="s">
        <v>189</v>
      </c>
      <c r="D146" s="48" t="s">
        <v>243</v>
      </c>
      <c r="E146" s="48" t="s">
        <v>94</v>
      </c>
      <c r="F146" s="48" t="s">
        <v>379</v>
      </c>
      <c r="G146" s="48" t="s">
        <v>192</v>
      </c>
      <c r="H146" s="50" t="s">
        <v>170</v>
      </c>
      <c r="I146" s="51" t="str">
        <f t="shared" si="75"/>
        <v>ATENDIDO</v>
      </c>
      <c r="J146" s="61">
        <v>759</v>
      </c>
      <c r="K146" s="53">
        <v>42242</v>
      </c>
      <c r="L146" s="53">
        <v>42242</v>
      </c>
      <c r="M146" s="54">
        <v>1</v>
      </c>
      <c r="N146" s="55" t="s">
        <v>266</v>
      </c>
      <c r="O146" s="54">
        <f t="shared" ref="O146" si="78">IF(K146=0,0,(NETWORKDAYS(B146,K146)))</f>
        <v>16</v>
      </c>
      <c r="P146" s="54">
        <f t="shared" si="74"/>
        <v>16</v>
      </c>
      <c r="Q146" s="54">
        <v>1</v>
      </c>
      <c r="R146" s="60" t="s">
        <v>267</v>
      </c>
      <c r="S146" s="30"/>
      <c r="T146" s="33"/>
      <c r="U146" s="29"/>
      <c r="V146" s="33"/>
      <c r="W146" s="30"/>
    </row>
    <row r="147" spans="1:23" s="10" customFormat="1" ht="25.5">
      <c r="A147" s="48" t="s">
        <v>701</v>
      </c>
      <c r="B147" s="49">
        <v>42237</v>
      </c>
      <c r="C147" s="48" t="s">
        <v>39</v>
      </c>
      <c r="D147" s="48" t="s">
        <v>243</v>
      </c>
      <c r="E147" s="48" t="s">
        <v>96</v>
      </c>
      <c r="F147" s="48" t="s">
        <v>561</v>
      </c>
      <c r="G147" s="48" t="s">
        <v>140</v>
      </c>
      <c r="H147" s="50" t="s">
        <v>170</v>
      </c>
      <c r="I147" s="51" t="str">
        <f t="shared" ref="I147:I152" si="79">IF(J147=0,"PENDIENTE",IF(J147="C","CORREO ENVIADO",IF(J147="OF","OFICIO EN FIRMA",IF(J147="PF","PLANOS EN FIRMA",IF(J147="OM","OFICIO MAQUINADO","ATENDIDO")))))</f>
        <v>ATENDIDO</v>
      </c>
      <c r="J147" s="61">
        <v>762</v>
      </c>
      <c r="K147" s="53">
        <v>42243</v>
      </c>
      <c r="L147" s="53">
        <v>42241</v>
      </c>
      <c r="M147" s="54">
        <v>1</v>
      </c>
      <c r="N147" s="55" t="s">
        <v>266</v>
      </c>
      <c r="O147" s="54">
        <f t="shared" ref="O147" si="80">IF(K147=0,0,(NETWORKDAYS(B147,K147)))</f>
        <v>5</v>
      </c>
      <c r="P147" s="54">
        <f t="shared" si="74"/>
        <v>3</v>
      </c>
      <c r="Q147" s="54">
        <v>1</v>
      </c>
      <c r="R147" s="60" t="s">
        <v>267</v>
      </c>
      <c r="S147" s="30"/>
      <c r="T147" s="33"/>
      <c r="U147" s="29"/>
      <c r="V147" s="33"/>
      <c r="W147" s="30"/>
    </row>
    <row r="148" spans="1:23" s="10" customFormat="1" ht="25.5">
      <c r="A148" s="48" t="s">
        <v>700</v>
      </c>
      <c r="B148" s="49">
        <v>42234</v>
      </c>
      <c r="C148" s="48" t="s">
        <v>48</v>
      </c>
      <c r="D148" s="48" t="s">
        <v>243</v>
      </c>
      <c r="E148" s="48" t="s">
        <v>79</v>
      </c>
      <c r="F148" s="48" t="s">
        <v>379</v>
      </c>
      <c r="G148" s="48" t="s">
        <v>192</v>
      </c>
      <c r="H148" s="50" t="s">
        <v>170</v>
      </c>
      <c r="I148" s="51" t="str">
        <f t="shared" si="79"/>
        <v>ATENDIDO</v>
      </c>
      <c r="J148" s="61" t="s">
        <v>408</v>
      </c>
      <c r="K148" s="53">
        <v>42242</v>
      </c>
      <c r="L148" s="53">
        <v>42236</v>
      </c>
      <c r="M148" s="54">
        <v>1</v>
      </c>
      <c r="N148" s="55" t="s">
        <v>266</v>
      </c>
      <c r="O148" s="54">
        <f t="shared" ref="O148:O149" si="81">IF(K148=0,0,(NETWORKDAYS(B148,K148)))</f>
        <v>7</v>
      </c>
      <c r="P148" s="54">
        <f t="shared" ref="P148:P149" si="82">IF(L148=0,0,(NETWORKDAYS(B148,L148)))</f>
        <v>3</v>
      </c>
      <c r="Q148" s="54">
        <v>1</v>
      </c>
      <c r="R148" s="60" t="s">
        <v>267</v>
      </c>
      <c r="S148" s="30"/>
      <c r="T148" s="33"/>
      <c r="U148" s="29"/>
      <c r="V148" s="33"/>
      <c r="W148" s="30"/>
    </row>
    <row r="149" spans="1:23" s="10" customFormat="1" ht="25.5">
      <c r="A149" s="48" t="s">
        <v>699</v>
      </c>
      <c r="B149" s="49">
        <v>42234</v>
      </c>
      <c r="C149" s="48" t="s">
        <v>17</v>
      </c>
      <c r="D149" s="48" t="s">
        <v>243</v>
      </c>
      <c r="E149" s="48" t="s">
        <v>79</v>
      </c>
      <c r="F149" s="48" t="s">
        <v>379</v>
      </c>
      <c r="G149" s="48" t="s">
        <v>192</v>
      </c>
      <c r="H149" s="50" t="s">
        <v>170</v>
      </c>
      <c r="I149" s="51" t="str">
        <f t="shared" si="79"/>
        <v>ATENDIDO</v>
      </c>
      <c r="J149" s="61" t="s">
        <v>408</v>
      </c>
      <c r="K149" s="53">
        <v>42242</v>
      </c>
      <c r="L149" s="53">
        <v>42236</v>
      </c>
      <c r="M149" s="54">
        <v>1</v>
      </c>
      <c r="N149" s="55" t="s">
        <v>266</v>
      </c>
      <c r="O149" s="54">
        <f t="shared" si="81"/>
        <v>7</v>
      </c>
      <c r="P149" s="54">
        <f t="shared" si="82"/>
        <v>3</v>
      </c>
      <c r="Q149" s="54">
        <v>1</v>
      </c>
      <c r="R149" s="60" t="s">
        <v>267</v>
      </c>
      <c r="S149" s="30"/>
      <c r="T149" s="33"/>
      <c r="U149" s="29"/>
      <c r="V149" s="33"/>
      <c r="W149" s="30"/>
    </row>
    <row r="150" spans="1:23" s="10" customFormat="1" ht="25.5">
      <c r="A150" s="48" t="s">
        <v>697</v>
      </c>
      <c r="B150" s="49">
        <v>42233</v>
      </c>
      <c r="C150" s="48" t="s">
        <v>25</v>
      </c>
      <c r="D150" s="48" t="s">
        <v>243</v>
      </c>
      <c r="E150" s="48" t="s">
        <v>112</v>
      </c>
      <c r="F150" s="48" t="s">
        <v>698</v>
      </c>
      <c r="G150" s="48" t="s">
        <v>192</v>
      </c>
      <c r="H150" s="50" t="s">
        <v>170</v>
      </c>
      <c r="I150" s="51" t="str">
        <f t="shared" si="79"/>
        <v>ATENDIDO</v>
      </c>
      <c r="J150" s="61" t="s">
        <v>408</v>
      </c>
      <c r="K150" s="53">
        <v>42242</v>
      </c>
      <c r="L150" s="53">
        <v>42237</v>
      </c>
      <c r="M150" s="54">
        <v>1</v>
      </c>
      <c r="N150" s="55" t="s">
        <v>266</v>
      </c>
      <c r="O150" s="54">
        <f>IF(K150=0,0,(NETWORKDAYS(B150,K150)))</f>
        <v>8</v>
      </c>
      <c r="P150" s="54">
        <f t="shared" ref="P150:P175" si="83">IF(L150=0,0,(NETWORKDAYS(B150,L150)))</f>
        <v>5</v>
      </c>
      <c r="Q150" s="54">
        <v>1</v>
      </c>
      <c r="R150" s="60" t="s">
        <v>267</v>
      </c>
      <c r="S150" s="30"/>
      <c r="T150" s="33"/>
      <c r="U150" s="29"/>
      <c r="V150" s="33"/>
      <c r="W150" s="30"/>
    </row>
    <row r="151" spans="1:23" s="10" customFormat="1" ht="25.5">
      <c r="A151" s="48" t="s">
        <v>694</v>
      </c>
      <c r="B151" s="49">
        <v>42233</v>
      </c>
      <c r="C151" s="48" t="s">
        <v>274</v>
      </c>
      <c r="D151" s="48" t="s">
        <v>243</v>
      </c>
      <c r="E151" s="48" t="s">
        <v>93</v>
      </c>
      <c r="F151" s="48" t="s">
        <v>695</v>
      </c>
      <c r="G151" s="48" t="s">
        <v>151</v>
      </c>
      <c r="H151" s="50" t="s">
        <v>170</v>
      </c>
      <c r="I151" s="51" t="str">
        <f t="shared" si="79"/>
        <v>ATENDIDO</v>
      </c>
      <c r="J151" s="61">
        <v>764</v>
      </c>
      <c r="K151" s="53">
        <v>42242</v>
      </c>
      <c r="L151" s="53">
        <v>42237</v>
      </c>
      <c r="M151" s="54">
        <v>1</v>
      </c>
      <c r="N151" s="55" t="s">
        <v>266</v>
      </c>
      <c r="O151" s="54">
        <f>IF(K151=0,0,(NETWORKDAYS(B151,K151)))</f>
        <v>8</v>
      </c>
      <c r="P151" s="54">
        <f t="shared" si="83"/>
        <v>5</v>
      </c>
      <c r="Q151" s="54">
        <v>1</v>
      </c>
      <c r="R151" s="60" t="s">
        <v>267</v>
      </c>
      <c r="S151" s="30"/>
      <c r="T151" s="33"/>
      <c r="U151" s="29"/>
      <c r="V151" s="33"/>
      <c r="W151" s="30"/>
    </row>
    <row r="152" spans="1:23" s="10" customFormat="1" ht="25.5">
      <c r="A152" s="48" t="s">
        <v>693</v>
      </c>
      <c r="B152" s="49">
        <v>42230</v>
      </c>
      <c r="C152" s="48" t="s">
        <v>18</v>
      </c>
      <c r="D152" s="48" t="s">
        <v>243</v>
      </c>
      <c r="E152" s="48" t="s">
        <v>302</v>
      </c>
      <c r="F152" s="48" t="s">
        <v>552</v>
      </c>
      <c r="G152" s="48" t="s">
        <v>192</v>
      </c>
      <c r="H152" s="50" t="s">
        <v>172</v>
      </c>
      <c r="I152" s="51" t="str">
        <f t="shared" si="79"/>
        <v>ATENDIDO</v>
      </c>
      <c r="J152" s="61" t="s">
        <v>408</v>
      </c>
      <c r="K152" s="53">
        <v>42242</v>
      </c>
      <c r="L152" s="53">
        <v>42242</v>
      </c>
      <c r="M152" s="54">
        <v>1</v>
      </c>
      <c r="N152" s="55" t="s">
        <v>266</v>
      </c>
      <c r="O152" s="54">
        <f>IF(K152=0,0,(NETWORKDAYS(B152,K152)))</f>
        <v>9</v>
      </c>
      <c r="P152" s="54">
        <f t="shared" si="83"/>
        <v>9</v>
      </c>
      <c r="Q152" s="54">
        <v>1</v>
      </c>
      <c r="R152" s="60" t="s">
        <v>267</v>
      </c>
      <c r="S152" s="30"/>
      <c r="T152" s="33"/>
      <c r="U152" s="29"/>
      <c r="V152" s="33"/>
      <c r="W152" s="30"/>
    </row>
    <row r="153" spans="1:23" s="10" customFormat="1" ht="39" customHeight="1">
      <c r="A153" s="48" t="s">
        <v>692</v>
      </c>
      <c r="B153" s="49">
        <v>42229</v>
      </c>
      <c r="C153" s="48" t="s">
        <v>21</v>
      </c>
      <c r="D153" s="48" t="s">
        <v>243</v>
      </c>
      <c r="E153" s="48" t="s">
        <v>89</v>
      </c>
      <c r="F153" s="48" t="s">
        <v>690</v>
      </c>
      <c r="G153" s="48" t="s">
        <v>142</v>
      </c>
      <c r="H153" s="50" t="s">
        <v>170</v>
      </c>
      <c r="I153" s="51" t="str">
        <f t="shared" ref="I153:I158" si="84">IF(J153=0,"PENDIENTE",IF(J153="C","CORREO ENVIADO",IF(J153="OF","OFICIO EN FIRMA",IF(J153="PF","PLANOS EN FIRMA",IF(J153="OM","OFICIO MAQUINADO","ATENDIDO")))))</f>
        <v>ATENDIDO</v>
      </c>
      <c r="J153" s="61" t="s">
        <v>408</v>
      </c>
      <c r="K153" s="53">
        <v>42233</v>
      </c>
      <c r="L153" s="53">
        <v>42233</v>
      </c>
      <c r="M153" s="54">
        <v>1</v>
      </c>
      <c r="N153" s="55" t="s">
        <v>266</v>
      </c>
      <c r="O153" s="63" t="s">
        <v>540</v>
      </c>
      <c r="P153" s="54">
        <f t="shared" si="83"/>
        <v>3</v>
      </c>
      <c r="Q153" s="54">
        <v>1</v>
      </c>
      <c r="R153" s="60" t="s">
        <v>267</v>
      </c>
      <c r="S153" s="30"/>
      <c r="T153" s="33"/>
      <c r="U153" s="29"/>
      <c r="V153" s="33"/>
      <c r="W153" s="30"/>
    </row>
    <row r="154" spans="1:23" s="10" customFormat="1" ht="39" customHeight="1">
      <c r="A154" s="48" t="s">
        <v>691</v>
      </c>
      <c r="B154" s="49">
        <v>42229</v>
      </c>
      <c r="C154" s="48" t="s">
        <v>21</v>
      </c>
      <c r="D154" s="48" t="s">
        <v>243</v>
      </c>
      <c r="E154" s="48" t="s">
        <v>89</v>
      </c>
      <c r="F154" s="48" t="s">
        <v>690</v>
      </c>
      <c r="G154" s="48" t="s">
        <v>142</v>
      </c>
      <c r="H154" s="50" t="s">
        <v>170</v>
      </c>
      <c r="I154" s="51" t="str">
        <f t="shared" si="84"/>
        <v>ATENDIDO</v>
      </c>
      <c r="J154" s="61" t="s">
        <v>408</v>
      </c>
      <c r="K154" s="53">
        <v>42233</v>
      </c>
      <c r="L154" s="53">
        <v>42233</v>
      </c>
      <c r="M154" s="54">
        <v>1</v>
      </c>
      <c r="N154" s="55" t="s">
        <v>266</v>
      </c>
      <c r="O154" s="63" t="s">
        <v>540</v>
      </c>
      <c r="P154" s="54">
        <f t="shared" si="83"/>
        <v>3</v>
      </c>
      <c r="Q154" s="54">
        <v>1</v>
      </c>
      <c r="R154" s="60" t="s">
        <v>267</v>
      </c>
      <c r="S154" s="30"/>
      <c r="T154" s="33"/>
      <c r="U154" s="29"/>
      <c r="V154" s="33"/>
      <c r="W154" s="30"/>
    </row>
    <row r="155" spans="1:23" s="10" customFormat="1" ht="39" customHeight="1">
      <c r="A155" s="48" t="s">
        <v>689</v>
      </c>
      <c r="B155" s="49">
        <v>42229</v>
      </c>
      <c r="C155" s="48" t="s">
        <v>21</v>
      </c>
      <c r="D155" s="48" t="s">
        <v>243</v>
      </c>
      <c r="E155" s="48" t="s">
        <v>89</v>
      </c>
      <c r="F155" s="48" t="s">
        <v>690</v>
      </c>
      <c r="G155" s="48" t="s">
        <v>142</v>
      </c>
      <c r="H155" s="50" t="s">
        <v>170</v>
      </c>
      <c r="I155" s="51" t="str">
        <f t="shared" si="84"/>
        <v>ATENDIDO</v>
      </c>
      <c r="J155" s="61" t="s">
        <v>408</v>
      </c>
      <c r="K155" s="53">
        <v>42233</v>
      </c>
      <c r="L155" s="53">
        <v>42233</v>
      </c>
      <c r="M155" s="54">
        <v>1</v>
      </c>
      <c r="N155" s="55" t="s">
        <v>266</v>
      </c>
      <c r="O155" s="63" t="s">
        <v>540</v>
      </c>
      <c r="P155" s="54">
        <f t="shared" si="83"/>
        <v>3</v>
      </c>
      <c r="Q155" s="54">
        <v>1</v>
      </c>
      <c r="R155" s="60" t="s">
        <v>267</v>
      </c>
      <c r="S155" s="30"/>
      <c r="T155" s="33"/>
      <c r="U155" s="29"/>
      <c r="V155" s="33"/>
      <c r="W155" s="30"/>
    </row>
    <row r="156" spans="1:23" s="10" customFormat="1" ht="39" customHeight="1">
      <c r="A156" s="48" t="s">
        <v>687</v>
      </c>
      <c r="B156" s="49">
        <v>42229</v>
      </c>
      <c r="C156" s="48" t="s">
        <v>181</v>
      </c>
      <c r="D156" s="48" t="s">
        <v>243</v>
      </c>
      <c r="E156" s="48" t="s">
        <v>268</v>
      </c>
      <c r="F156" s="48" t="s">
        <v>688</v>
      </c>
      <c r="G156" s="48" t="s">
        <v>138</v>
      </c>
      <c r="H156" s="50" t="s">
        <v>172</v>
      </c>
      <c r="I156" s="51" t="str">
        <f t="shared" si="84"/>
        <v>ATENDIDO</v>
      </c>
      <c r="J156" s="61" t="s">
        <v>696</v>
      </c>
      <c r="K156" s="53">
        <v>42229</v>
      </c>
      <c r="L156" s="53">
        <v>42229</v>
      </c>
      <c r="M156" s="54">
        <v>1</v>
      </c>
      <c r="N156" s="55" t="s">
        <v>266</v>
      </c>
      <c r="O156" s="63" t="s">
        <v>540</v>
      </c>
      <c r="P156" s="54">
        <f t="shared" si="83"/>
        <v>1</v>
      </c>
      <c r="Q156" s="54">
        <v>1</v>
      </c>
      <c r="R156" s="60" t="s">
        <v>267</v>
      </c>
      <c r="S156" s="30"/>
      <c r="T156" s="33"/>
      <c r="U156" s="29"/>
      <c r="V156" s="33"/>
      <c r="W156" s="30"/>
    </row>
    <row r="157" spans="1:23" s="10" customFormat="1" ht="25.5">
      <c r="A157" s="48" t="s">
        <v>686</v>
      </c>
      <c r="B157" s="49">
        <v>42228</v>
      </c>
      <c r="C157" s="48" t="s">
        <v>12</v>
      </c>
      <c r="D157" s="48" t="s">
        <v>243</v>
      </c>
      <c r="E157" s="48" t="s">
        <v>94</v>
      </c>
      <c r="F157" s="48" t="s">
        <v>685</v>
      </c>
      <c r="G157" s="48" t="s">
        <v>192</v>
      </c>
      <c r="H157" s="50" t="s">
        <v>172</v>
      </c>
      <c r="I157" s="51" t="str">
        <f t="shared" si="84"/>
        <v>ATENDIDO</v>
      </c>
      <c r="J157" s="61" t="s">
        <v>408</v>
      </c>
      <c r="K157" s="53">
        <v>42242</v>
      </c>
      <c r="L157" s="53">
        <v>42234</v>
      </c>
      <c r="M157" s="54">
        <v>1</v>
      </c>
      <c r="N157" s="55" t="s">
        <v>266</v>
      </c>
      <c r="O157" s="64">
        <f>IF(K157=0,0,(NETWORKDAYS(B157,K157)))</f>
        <v>11</v>
      </c>
      <c r="P157" s="54">
        <f t="shared" si="83"/>
        <v>5</v>
      </c>
      <c r="Q157" s="54">
        <v>1</v>
      </c>
      <c r="R157" s="60" t="s">
        <v>267</v>
      </c>
      <c r="S157" s="30"/>
      <c r="T157" s="33"/>
      <c r="U157" s="29"/>
      <c r="V157" s="33"/>
      <c r="W157" s="30"/>
    </row>
    <row r="158" spans="1:23" s="10" customFormat="1" ht="25.5">
      <c r="A158" s="48" t="s">
        <v>684</v>
      </c>
      <c r="B158" s="49">
        <v>42228</v>
      </c>
      <c r="C158" s="48" t="s">
        <v>12</v>
      </c>
      <c r="D158" s="48" t="s">
        <v>243</v>
      </c>
      <c r="E158" s="48" t="s">
        <v>94</v>
      </c>
      <c r="F158" s="48" t="s">
        <v>685</v>
      </c>
      <c r="G158" s="48" t="s">
        <v>192</v>
      </c>
      <c r="H158" s="50" t="s">
        <v>172</v>
      </c>
      <c r="I158" s="51" t="str">
        <f t="shared" si="84"/>
        <v>ATENDIDO</v>
      </c>
      <c r="J158" s="61" t="s">
        <v>408</v>
      </c>
      <c r="K158" s="53">
        <v>42242</v>
      </c>
      <c r="L158" s="53">
        <v>42234</v>
      </c>
      <c r="M158" s="54">
        <v>1</v>
      </c>
      <c r="N158" s="55" t="s">
        <v>266</v>
      </c>
      <c r="O158" s="54">
        <f>IF(K158=0,0,(NETWORKDAYS(B158,K158)))</f>
        <v>11</v>
      </c>
      <c r="P158" s="54">
        <f t="shared" si="83"/>
        <v>5</v>
      </c>
      <c r="Q158" s="54">
        <v>1</v>
      </c>
      <c r="R158" s="60" t="s">
        <v>267</v>
      </c>
      <c r="S158" s="30"/>
      <c r="T158" s="33"/>
      <c r="U158" s="29"/>
      <c r="V158" s="33"/>
      <c r="W158" s="30"/>
    </row>
    <row r="159" spans="1:23" s="10" customFormat="1" ht="25.5">
      <c r="A159" s="48" t="s">
        <v>683</v>
      </c>
      <c r="B159" s="49">
        <v>42226</v>
      </c>
      <c r="C159" s="48" t="s">
        <v>12</v>
      </c>
      <c r="D159" s="48" t="s">
        <v>243</v>
      </c>
      <c r="E159" s="48" t="s">
        <v>301</v>
      </c>
      <c r="F159" s="48" t="s">
        <v>589</v>
      </c>
      <c r="G159" s="48" t="s">
        <v>192</v>
      </c>
      <c r="H159" s="50" t="s">
        <v>172</v>
      </c>
      <c r="I159" s="51" t="str">
        <f t="shared" ref="I159:I164" si="85">IF(J159=0,"PENDIENTE",IF(J159="C","CORREO ENVIADO",IF(J159="OF","OFICIO EN FIRMA",IF(J159="PF","PLANOS EN FIRMA",IF(J159="OM","OFICIO MAQUINADO","ATENDIDO")))))</f>
        <v>ATENDIDO</v>
      </c>
      <c r="J159" s="61">
        <v>744</v>
      </c>
      <c r="K159" s="53">
        <v>42235</v>
      </c>
      <c r="L159" s="53">
        <v>42229</v>
      </c>
      <c r="M159" s="54">
        <v>1</v>
      </c>
      <c r="N159" s="55" t="s">
        <v>266</v>
      </c>
      <c r="O159" s="54">
        <f t="shared" ref="O159:O164" si="86">IF(K159=0,0,(NETWORKDAYS(B159,K159)))</f>
        <v>8</v>
      </c>
      <c r="P159" s="54">
        <f t="shared" si="83"/>
        <v>4</v>
      </c>
      <c r="Q159" s="54">
        <v>1</v>
      </c>
      <c r="R159" s="60" t="s">
        <v>267</v>
      </c>
      <c r="S159" s="30"/>
      <c r="T159" s="33"/>
      <c r="U159" s="29"/>
      <c r="V159" s="33"/>
      <c r="W159" s="30"/>
    </row>
    <row r="160" spans="1:23" s="10" customFormat="1" ht="25.5">
      <c r="A160" s="48" t="s">
        <v>682</v>
      </c>
      <c r="B160" s="49">
        <v>42226</v>
      </c>
      <c r="C160" s="48" t="s">
        <v>12</v>
      </c>
      <c r="D160" s="48" t="s">
        <v>243</v>
      </c>
      <c r="E160" s="48" t="s">
        <v>301</v>
      </c>
      <c r="F160" s="48" t="s">
        <v>589</v>
      </c>
      <c r="G160" s="48" t="s">
        <v>192</v>
      </c>
      <c r="H160" s="50" t="s">
        <v>172</v>
      </c>
      <c r="I160" s="51" t="str">
        <f t="shared" si="85"/>
        <v>ATENDIDO</v>
      </c>
      <c r="J160" s="61">
        <v>743</v>
      </c>
      <c r="K160" s="53">
        <v>42235</v>
      </c>
      <c r="L160" s="53">
        <v>42229</v>
      </c>
      <c r="M160" s="54">
        <v>1</v>
      </c>
      <c r="N160" s="55" t="s">
        <v>266</v>
      </c>
      <c r="O160" s="54">
        <f t="shared" si="86"/>
        <v>8</v>
      </c>
      <c r="P160" s="54">
        <f t="shared" si="83"/>
        <v>4</v>
      </c>
      <c r="Q160" s="54">
        <v>1</v>
      </c>
      <c r="R160" s="60" t="s">
        <v>267</v>
      </c>
      <c r="S160" s="30"/>
      <c r="T160" s="33"/>
      <c r="U160" s="29"/>
      <c r="V160" s="33"/>
      <c r="W160" s="30"/>
    </row>
    <row r="161" spans="1:23" s="10" customFormat="1" ht="25.5">
      <c r="A161" s="48" t="s">
        <v>680</v>
      </c>
      <c r="B161" s="49">
        <v>42223</v>
      </c>
      <c r="C161" s="48" t="s">
        <v>13</v>
      </c>
      <c r="D161" s="48" t="s">
        <v>56</v>
      </c>
      <c r="E161" s="48" t="s">
        <v>73</v>
      </c>
      <c r="F161" s="48" t="s">
        <v>681</v>
      </c>
      <c r="G161" s="48" t="s">
        <v>192</v>
      </c>
      <c r="H161" s="50" t="s">
        <v>172</v>
      </c>
      <c r="I161" s="51" t="str">
        <f t="shared" si="85"/>
        <v>ATENDIDO</v>
      </c>
      <c r="J161" s="61" t="s">
        <v>704</v>
      </c>
      <c r="K161" s="53">
        <v>42237</v>
      </c>
      <c r="L161" s="53">
        <v>42228</v>
      </c>
      <c r="M161" s="54">
        <v>1</v>
      </c>
      <c r="N161" s="55" t="s">
        <v>266</v>
      </c>
      <c r="O161" s="54">
        <f t="shared" si="86"/>
        <v>11</v>
      </c>
      <c r="P161" s="54">
        <f t="shared" si="83"/>
        <v>4</v>
      </c>
      <c r="Q161" s="54">
        <v>1</v>
      </c>
      <c r="R161" s="60" t="s">
        <v>267</v>
      </c>
      <c r="S161" s="30"/>
      <c r="T161" s="33"/>
      <c r="U161" s="29"/>
      <c r="V161" s="33"/>
      <c r="W161" s="30"/>
    </row>
    <row r="162" spans="1:23" s="10" customFormat="1" ht="25.5">
      <c r="A162" s="48" t="s">
        <v>678</v>
      </c>
      <c r="B162" s="49">
        <v>42223</v>
      </c>
      <c r="C162" s="48" t="s">
        <v>13</v>
      </c>
      <c r="D162" s="48" t="s">
        <v>56</v>
      </c>
      <c r="E162" s="48" t="s">
        <v>73</v>
      </c>
      <c r="F162" s="48" t="s">
        <v>679</v>
      </c>
      <c r="G162" s="48" t="s">
        <v>192</v>
      </c>
      <c r="H162" s="50" t="s">
        <v>172</v>
      </c>
      <c r="I162" s="51" t="str">
        <f t="shared" si="85"/>
        <v>ATENDIDO</v>
      </c>
      <c r="J162" s="65" t="s">
        <v>717</v>
      </c>
      <c r="K162" s="53">
        <v>42233</v>
      </c>
      <c r="L162" s="53">
        <v>42228</v>
      </c>
      <c r="M162" s="54">
        <v>1</v>
      </c>
      <c r="N162" s="55" t="s">
        <v>266</v>
      </c>
      <c r="O162" s="54">
        <f t="shared" si="86"/>
        <v>7</v>
      </c>
      <c r="P162" s="54">
        <f t="shared" si="83"/>
        <v>4</v>
      </c>
      <c r="Q162" s="54">
        <v>1</v>
      </c>
      <c r="R162" s="60" t="s">
        <v>267</v>
      </c>
      <c r="S162" s="30"/>
      <c r="T162" s="33"/>
      <c r="U162" s="29"/>
      <c r="V162" s="33"/>
      <c r="W162" s="30"/>
    </row>
    <row r="163" spans="1:23" s="10" customFormat="1" ht="25.5">
      <c r="A163" s="48" t="s">
        <v>677</v>
      </c>
      <c r="B163" s="49">
        <v>42219</v>
      </c>
      <c r="C163" s="48" t="s">
        <v>13</v>
      </c>
      <c r="D163" s="48" t="s">
        <v>56</v>
      </c>
      <c r="E163" s="48" t="s">
        <v>73</v>
      </c>
      <c r="F163" s="48" t="s">
        <v>676</v>
      </c>
      <c r="G163" s="48" t="s">
        <v>192</v>
      </c>
      <c r="H163" s="50" t="s">
        <v>172</v>
      </c>
      <c r="I163" s="51" t="str">
        <f t="shared" si="85"/>
        <v>ATENDIDO</v>
      </c>
      <c r="J163" s="61">
        <v>715</v>
      </c>
      <c r="K163" s="53">
        <v>42223</v>
      </c>
      <c r="L163" s="53">
        <v>42222</v>
      </c>
      <c r="M163" s="54">
        <v>1</v>
      </c>
      <c r="N163" s="55" t="s">
        <v>266</v>
      </c>
      <c r="O163" s="54">
        <f t="shared" si="86"/>
        <v>5</v>
      </c>
      <c r="P163" s="54">
        <f t="shared" si="83"/>
        <v>4</v>
      </c>
      <c r="Q163" s="54">
        <v>1</v>
      </c>
      <c r="R163" s="60" t="s">
        <v>267</v>
      </c>
      <c r="S163" s="30"/>
      <c r="T163" s="33"/>
      <c r="U163" s="29"/>
      <c r="V163" s="33"/>
      <c r="W163" s="30"/>
    </row>
    <row r="164" spans="1:23" s="10" customFormat="1" ht="25.5">
      <c r="A164" s="48" t="s">
        <v>675</v>
      </c>
      <c r="B164" s="49">
        <v>42219</v>
      </c>
      <c r="C164" s="48" t="s">
        <v>22</v>
      </c>
      <c r="D164" s="48" t="s">
        <v>56</v>
      </c>
      <c r="E164" s="48" t="s">
        <v>86</v>
      </c>
      <c r="F164" s="48" t="s">
        <v>526</v>
      </c>
      <c r="G164" s="48" t="s">
        <v>145</v>
      </c>
      <c r="H164" s="50" t="s">
        <v>172</v>
      </c>
      <c r="I164" s="51" t="str">
        <f t="shared" si="85"/>
        <v>ATENDIDO</v>
      </c>
      <c r="J164" s="61">
        <v>716</v>
      </c>
      <c r="K164" s="53">
        <v>42223</v>
      </c>
      <c r="L164" s="53">
        <v>42223</v>
      </c>
      <c r="M164" s="54">
        <v>1</v>
      </c>
      <c r="N164" s="55" t="s">
        <v>266</v>
      </c>
      <c r="O164" s="54">
        <f t="shared" si="86"/>
        <v>5</v>
      </c>
      <c r="P164" s="54">
        <f t="shared" si="83"/>
        <v>5</v>
      </c>
      <c r="Q164" s="54">
        <v>1</v>
      </c>
      <c r="R164" s="60" t="s">
        <v>267</v>
      </c>
      <c r="S164" s="30"/>
      <c r="T164" s="33"/>
      <c r="U164" s="29"/>
      <c r="V164" s="33"/>
      <c r="W164" s="30"/>
    </row>
    <row r="165" spans="1:23" s="10" customFormat="1" ht="25.5">
      <c r="A165" s="48" t="s">
        <v>674</v>
      </c>
      <c r="B165" s="49">
        <v>42216</v>
      </c>
      <c r="C165" s="48" t="s">
        <v>12</v>
      </c>
      <c r="D165" s="48" t="s">
        <v>243</v>
      </c>
      <c r="E165" s="48" t="s">
        <v>79</v>
      </c>
      <c r="F165" s="48" t="s">
        <v>673</v>
      </c>
      <c r="G165" s="48" t="s">
        <v>192</v>
      </c>
      <c r="H165" s="50" t="s">
        <v>172</v>
      </c>
      <c r="I165" s="51" t="str">
        <f t="shared" ref="I165:I170" si="87">IF(J165=0,"PENDIENTE",IF(J165="C","CORREO ENVIADO",IF(J165="OF","OFICIO EN FIRMA",IF(J165="PF","PLANOS EN FIRMA",IF(J165="OM","OFICIO MAQUINADO","ATENDIDO")))))</f>
        <v>ATENDIDO</v>
      </c>
      <c r="J165" s="61" t="s">
        <v>408</v>
      </c>
      <c r="K165" s="53">
        <v>42242</v>
      </c>
      <c r="L165" s="53">
        <v>42220</v>
      </c>
      <c r="M165" s="54">
        <v>1</v>
      </c>
      <c r="N165" s="55" t="s">
        <v>266</v>
      </c>
      <c r="O165" s="54">
        <f t="shared" ref="O165:O170" si="88">IF(K165=0,0,(NETWORKDAYS(B165,K165)))</f>
        <v>19</v>
      </c>
      <c r="P165" s="54">
        <f t="shared" si="83"/>
        <v>3</v>
      </c>
      <c r="Q165" s="54">
        <v>1</v>
      </c>
      <c r="R165" s="60" t="s">
        <v>267</v>
      </c>
      <c r="S165" s="30"/>
      <c r="T165" s="33"/>
      <c r="U165" s="29"/>
      <c r="V165" s="33"/>
      <c r="W165" s="30"/>
    </row>
    <row r="166" spans="1:23" s="10" customFormat="1" ht="25.5">
      <c r="A166" s="48" t="s">
        <v>672</v>
      </c>
      <c r="B166" s="49">
        <v>42216</v>
      </c>
      <c r="C166" s="48" t="s">
        <v>32</v>
      </c>
      <c r="D166" s="48" t="s">
        <v>243</v>
      </c>
      <c r="E166" s="48" t="s">
        <v>79</v>
      </c>
      <c r="F166" s="48" t="s">
        <v>673</v>
      </c>
      <c r="G166" s="48" t="s">
        <v>192</v>
      </c>
      <c r="H166" s="50" t="s">
        <v>172</v>
      </c>
      <c r="I166" s="51" t="str">
        <f t="shared" si="87"/>
        <v>ATENDIDO</v>
      </c>
      <c r="J166" s="61" t="s">
        <v>408</v>
      </c>
      <c r="K166" s="53">
        <v>42242</v>
      </c>
      <c r="L166" s="53">
        <v>42220</v>
      </c>
      <c r="M166" s="54">
        <v>1</v>
      </c>
      <c r="N166" s="55" t="s">
        <v>266</v>
      </c>
      <c r="O166" s="54">
        <f t="shared" si="88"/>
        <v>19</v>
      </c>
      <c r="P166" s="54">
        <f t="shared" si="83"/>
        <v>3</v>
      </c>
      <c r="Q166" s="54">
        <v>1</v>
      </c>
      <c r="R166" s="60" t="s">
        <v>267</v>
      </c>
      <c r="S166" s="30"/>
      <c r="T166" s="33"/>
      <c r="U166" s="29"/>
      <c r="V166" s="33"/>
      <c r="W166" s="30"/>
    </row>
    <row r="167" spans="1:23" s="10" customFormat="1" ht="25.5">
      <c r="A167" s="48" t="s">
        <v>671</v>
      </c>
      <c r="B167" s="49">
        <v>42215</v>
      </c>
      <c r="C167" s="48" t="s">
        <v>12</v>
      </c>
      <c r="D167" s="48" t="s">
        <v>243</v>
      </c>
      <c r="E167" s="48" t="s">
        <v>83</v>
      </c>
      <c r="F167" s="48" t="s">
        <v>670</v>
      </c>
      <c r="G167" s="48" t="s">
        <v>192</v>
      </c>
      <c r="H167" s="50" t="s">
        <v>172</v>
      </c>
      <c r="I167" s="51" t="str">
        <f t="shared" si="87"/>
        <v>ATENDIDO</v>
      </c>
      <c r="J167" s="61">
        <v>735</v>
      </c>
      <c r="K167" s="53">
        <v>42220</v>
      </c>
      <c r="L167" s="53">
        <v>42220</v>
      </c>
      <c r="M167" s="54">
        <v>1</v>
      </c>
      <c r="N167" s="55" t="s">
        <v>266</v>
      </c>
      <c r="O167" s="54">
        <f t="shared" si="88"/>
        <v>4</v>
      </c>
      <c r="P167" s="54">
        <f t="shared" si="83"/>
        <v>4</v>
      </c>
      <c r="Q167" s="54">
        <v>1</v>
      </c>
      <c r="R167" s="60" t="s">
        <v>267</v>
      </c>
      <c r="S167" s="30"/>
      <c r="T167" s="33"/>
      <c r="U167" s="29"/>
      <c r="V167" s="33"/>
      <c r="W167" s="30"/>
    </row>
    <row r="168" spans="1:23" s="10" customFormat="1" ht="25.5">
      <c r="A168" s="48" t="s">
        <v>669</v>
      </c>
      <c r="B168" s="49">
        <v>42215</v>
      </c>
      <c r="C168" s="48" t="s">
        <v>16</v>
      </c>
      <c r="D168" s="48" t="s">
        <v>243</v>
      </c>
      <c r="E168" s="48" t="s">
        <v>83</v>
      </c>
      <c r="F168" s="48" t="s">
        <v>670</v>
      </c>
      <c r="G168" s="48" t="s">
        <v>192</v>
      </c>
      <c r="H168" s="50" t="s">
        <v>172</v>
      </c>
      <c r="I168" s="51" t="str">
        <f t="shared" si="87"/>
        <v>ATENDIDO</v>
      </c>
      <c r="J168" s="61">
        <v>734</v>
      </c>
      <c r="K168" s="53">
        <v>42220</v>
      </c>
      <c r="L168" s="53">
        <v>42220</v>
      </c>
      <c r="M168" s="54">
        <v>1</v>
      </c>
      <c r="N168" s="55" t="s">
        <v>266</v>
      </c>
      <c r="O168" s="54">
        <f t="shared" si="88"/>
        <v>4</v>
      </c>
      <c r="P168" s="54">
        <f t="shared" si="83"/>
        <v>4</v>
      </c>
      <c r="Q168" s="54">
        <v>1</v>
      </c>
      <c r="R168" s="60" t="s">
        <v>267</v>
      </c>
      <c r="S168" s="30"/>
      <c r="T168" s="33"/>
      <c r="U168" s="29"/>
      <c r="V168" s="33"/>
      <c r="W168" s="30"/>
    </row>
    <row r="169" spans="1:23" s="10" customFormat="1" ht="25.5">
      <c r="A169" s="48" t="s">
        <v>667</v>
      </c>
      <c r="B169" s="49">
        <v>42213</v>
      </c>
      <c r="C169" s="48" t="s">
        <v>42</v>
      </c>
      <c r="D169" s="48" t="s">
        <v>243</v>
      </c>
      <c r="E169" s="48" t="s">
        <v>121</v>
      </c>
      <c r="F169" s="48" t="s">
        <v>668</v>
      </c>
      <c r="G169" s="48" t="s">
        <v>142</v>
      </c>
      <c r="H169" s="50" t="s">
        <v>549</v>
      </c>
      <c r="I169" s="51" t="str">
        <f t="shared" si="87"/>
        <v>ATENDIDO</v>
      </c>
      <c r="J169" s="61" t="s">
        <v>408</v>
      </c>
      <c r="K169" s="53">
        <v>42247</v>
      </c>
      <c r="L169" s="53">
        <v>42214</v>
      </c>
      <c r="M169" s="54">
        <v>1</v>
      </c>
      <c r="N169" s="55" t="s">
        <v>266</v>
      </c>
      <c r="O169" s="54">
        <f t="shared" si="88"/>
        <v>25</v>
      </c>
      <c r="P169" s="54">
        <f t="shared" si="83"/>
        <v>2</v>
      </c>
      <c r="Q169" s="54">
        <v>1</v>
      </c>
      <c r="R169" s="60" t="s">
        <v>267</v>
      </c>
      <c r="S169" s="30"/>
      <c r="T169" s="33"/>
      <c r="U169" s="29"/>
      <c r="V169" s="33"/>
      <c r="W169" s="30"/>
    </row>
    <row r="170" spans="1:23" s="10" customFormat="1" ht="25.5">
      <c r="A170" s="48" t="s">
        <v>665</v>
      </c>
      <c r="B170" s="49">
        <v>42213</v>
      </c>
      <c r="C170" s="48" t="s">
        <v>11</v>
      </c>
      <c r="D170" s="48" t="s">
        <v>243</v>
      </c>
      <c r="E170" s="48" t="s">
        <v>608</v>
      </c>
      <c r="F170" s="48" t="s">
        <v>666</v>
      </c>
      <c r="G170" s="48" t="s">
        <v>137</v>
      </c>
      <c r="H170" s="50" t="s">
        <v>549</v>
      </c>
      <c r="I170" s="51" t="str">
        <f t="shared" si="87"/>
        <v>ATENDIDO</v>
      </c>
      <c r="J170" s="61">
        <v>727</v>
      </c>
      <c r="K170" s="53">
        <v>42229</v>
      </c>
      <c r="L170" s="53">
        <v>42215</v>
      </c>
      <c r="M170" s="54">
        <v>1</v>
      </c>
      <c r="N170" s="55" t="s">
        <v>266</v>
      </c>
      <c r="O170" s="54">
        <f t="shared" si="88"/>
        <v>13</v>
      </c>
      <c r="P170" s="54">
        <f t="shared" si="83"/>
        <v>3</v>
      </c>
      <c r="Q170" s="54">
        <v>1</v>
      </c>
      <c r="R170" s="60" t="s">
        <v>267</v>
      </c>
      <c r="S170" s="30"/>
      <c r="T170" s="33"/>
      <c r="U170" s="29"/>
      <c r="V170" s="33"/>
      <c r="W170" s="30"/>
    </row>
    <row r="171" spans="1:23" s="10" customFormat="1" ht="25.5">
      <c r="A171" s="48" t="s">
        <v>664</v>
      </c>
      <c r="B171" s="49">
        <v>42212</v>
      </c>
      <c r="C171" s="48" t="s">
        <v>69</v>
      </c>
      <c r="D171" s="48" t="s">
        <v>243</v>
      </c>
      <c r="E171" s="48" t="s">
        <v>121</v>
      </c>
      <c r="F171" s="48" t="s">
        <v>663</v>
      </c>
      <c r="G171" s="48" t="s">
        <v>192</v>
      </c>
      <c r="H171" s="50" t="s">
        <v>549</v>
      </c>
      <c r="I171" s="51" t="str">
        <f t="shared" ref="I171:I178" si="89">IF(J171=0,"PENDIENTE",IF(J171="C","CORREO ENVIADO",IF(J171="OF","OFICIO EN FIRMA",IF(J171="PF","PLANOS EN FIRMA",IF(J171="OM","OFICIO MAQUINADO","ATENDIDO")))))</f>
        <v>ATENDIDO</v>
      </c>
      <c r="J171" s="61" t="s">
        <v>408</v>
      </c>
      <c r="K171" s="53">
        <v>42247</v>
      </c>
      <c r="L171" s="53">
        <v>42214</v>
      </c>
      <c r="M171" s="54">
        <v>1</v>
      </c>
      <c r="N171" s="55" t="s">
        <v>266</v>
      </c>
      <c r="O171" s="54">
        <f t="shared" ref="O171:O178" si="90">IF(K171=0,0,(NETWORKDAYS(B171,K171)))</f>
        <v>26</v>
      </c>
      <c r="P171" s="54">
        <f t="shared" si="83"/>
        <v>3</v>
      </c>
      <c r="Q171" s="54">
        <v>1</v>
      </c>
      <c r="R171" s="60" t="s">
        <v>267</v>
      </c>
      <c r="S171" s="30"/>
      <c r="T171" s="33"/>
      <c r="U171" s="29"/>
      <c r="V171" s="33"/>
      <c r="W171" s="30"/>
    </row>
    <row r="172" spans="1:23" s="10" customFormat="1" ht="30">
      <c r="A172" s="48" t="s">
        <v>662</v>
      </c>
      <c r="B172" s="49">
        <v>42212</v>
      </c>
      <c r="C172" s="48" t="s">
        <v>42</v>
      </c>
      <c r="D172" s="48" t="s">
        <v>243</v>
      </c>
      <c r="E172" s="48" t="s">
        <v>121</v>
      </c>
      <c r="F172" s="48" t="s">
        <v>663</v>
      </c>
      <c r="G172" s="48" t="s">
        <v>142</v>
      </c>
      <c r="H172" s="50" t="s">
        <v>549</v>
      </c>
      <c r="I172" s="51" t="str">
        <f t="shared" si="89"/>
        <v>ATENDIDO</v>
      </c>
      <c r="J172" s="61" t="s">
        <v>716</v>
      </c>
      <c r="K172" s="53">
        <v>42247</v>
      </c>
      <c r="L172" s="53">
        <v>42214</v>
      </c>
      <c r="M172" s="54">
        <v>1</v>
      </c>
      <c r="N172" s="55" t="s">
        <v>266</v>
      </c>
      <c r="O172" s="54">
        <f t="shared" si="90"/>
        <v>26</v>
      </c>
      <c r="P172" s="54">
        <f t="shared" si="83"/>
        <v>3</v>
      </c>
      <c r="Q172" s="54">
        <v>1</v>
      </c>
      <c r="R172" s="60" t="s">
        <v>267</v>
      </c>
      <c r="S172" s="30"/>
      <c r="T172" s="33"/>
      <c r="U172" s="29"/>
      <c r="V172" s="33"/>
      <c r="W172" s="30"/>
    </row>
    <row r="173" spans="1:23" s="10" customFormat="1" ht="25.5">
      <c r="A173" s="48" t="s">
        <v>661</v>
      </c>
      <c r="B173" s="49">
        <v>42208</v>
      </c>
      <c r="C173" s="48" t="s">
        <v>20</v>
      </c>
      <c r="D173" s="48" t="s">
        <v>243</v>
      </c>
      <c r="E173" s="48" t="s">
        <v>368</v>
      </c>
      <c r="F173" s="48" t="s">
        <v>369</v>
      </c>
      <c r="G173" s="48" t="s">
        <v>145</v>
      </c>
      <c r="H173" s="50" t="s">
        <v>549</v>
      </c>
      <c r="I173" s="51" t="str">
        <f t="shared" si="89"/>
        <v>ATENDIDO</v>
      </c>
      <c r="J173" s="61">
        <v>745</v>
      </c>
      <c r="K173" s="53">
        <v>42237</v>
      </c>
      <c r="L173" s="53">
        <v>42213</v>
      </c>
      <c r="M173" s="54">
        <v>1</v>
      </c>
      <c r="N173" s="55" t="s">
        <v>266</v>
      </c>
      <c r="O173" s="54">
        <f t="shared" si="90"/>
        <v>22</v>
      </c>
      <c r="P173" s="54">
        <f t="shared" si="83"/>
        <v>4</v>
      </c>
      <c r="Q173" s="54">
        <v>1</v>
      </c>
      <c r="R173" s="60" t="s">
        <v>267</v>
      </c>
      <c r="S173" s="30"/>
      <c r="T173" s="33"/>
      <c r="U173" s="29"/>
      <c r="V173" s="33"/>
      <c r="W173" s="30"/>
    </row>
    <row r="174" spans="1:23" s="10" customFormat="1" ht="25.5">
      <c r="A174" s="48" t="s">
        <v>660</v>
      </c>
      <c r="B174" s="49">
        <v>42207</v>
      </c>
      <c r="C174" s="48" t="s">
        <v>12</v>
      </c>
      <c r="D174" s="48" t="s">
        <v>243</v>
      </c>
      <c r="E174" s="48" t="s">
        <v>71</v>
      </c>
      <c r="F174" s="48" t="s">
        <v>399</v>
      </c>
      <c r="G174" s="48" t="s">
        <v>192</v>
      </c>
      <c r="H174" s="50" t="s">
        <v>549</v>
      </c>
      <c r="I174" s="51" t="str">
        <f t="shared" si="89"/>
        <v>ATENDIDO</v>
      </c>
      <c r="J174" s="61">
        <v>698</v>
      </c>
      <c r="K174" s="53">
        <v>42219</v>
      </c>
      <c r="L174" s="53">
        <v>42213</v>
      </c>
      <c r="M174" s="54">
        <v>2</v>
      </c>
      <c r="N174" s="55" t="s">
        <v>266</v>
      </c>
      <c r="O174" s="54">
        <f t="shared" si="90"/>
        <v>9</v>
      </c>
      <c r="P174" s="54">
        <f t="shared" si="83"/>
        <v>5</v>
      </c>
      <c r="Q174" s="54">
        <v>1</v>
      </c>
      <c r="R174" s="60" t="s">
        <v>267</v>
      </c>
      <c r="S174" s="30"/>
      <c r="T174" s="33"/>
      <c r="U174" s="29"/>
      <c r="V174" s="33"/>
      <c r="W174" s="30"/>
    </row>
    <row r="175" spans="1:23" s="10" customFormat="1" ht="25.5">
      <c r="A175" s="48" t="s">
        <v>659</v>
      </c>
      <c r="B175" s="49">
        <v>42207</v>
      </c>
      <c r="C175" s="48" t="s">
        <v>25</v>
      </c>
      <c r="D175" s="48" t="s">
        <v>243</v>
      </c>
      <c r="E175" s="48" t="s">
        <v>71</v>
      </c>
      <c r="F175" s="48" t="s">
        <v>399</v>
      </c>
      <c r="G175" s="48" t="s">
        <v>192</v>
      </c>
      <c r="H175" s="50" t="s">
        <v>549</v>
      </c>
      <c r="I175" s="51" t="str">
        <f t="shared" si="89"/>
        <v>ATENDIDO</v>
      </c>
      <c r="J175" s="61">
        <v>697</v>
      </c>
      <c r="K175" s="53">
        <v>42219</v>
      </c>
      <c r="L175" s="53">
        <v>42213</v>
      </c>
      <c r="M175" s="54">
        <v>4</v>
      </c>
      <c r="N175" s="55" t="s">
        <v>266</v>
      </c>
      <c r="O175" s="54">
        <f t="shared" si="90"/>
        <v>9</v>
      </c>
      <c r="P175" s="54">
        <f t="shared" si="83"/>
        <v>5</v>
      </c>
      <c r="Q175" s="54">
        <v>1</v>
      </c>
      <c r="R175" s="60" t="s">
        <v>267</v>
      </c>
      <c r="S175" s="30"/>
      <c r="T175" s="33"/>
      <c r="U175" s="29"/>
      <c r="V175" s="33"/>
      <c r="W175" s="30"/>
    </row>
    <row r="176" spans="1:23" s="10" customFormat="1" ht="25.5">
      <c r="A176" s="48" t="s">
        <v>658</v>
      </c>
      <c r="B176" s="49">
        <v>42206</v>
      </c>
      <c r="C176" s="48" t="s">
        <v>22</v>
      </c>
      <c r="D176" s="48" t="s">
        <v>243</v>
      </c>
      <c r="E176" s="48" t="s">
        <v>86</v>
      </c>
      <c r="F176" s="48" t="s">
        <v>526</v>
      </c>
      <c r="G176" s="48" t="s">
        <v>145</v>
      </c>
      <c r="H176" s="50" t="s">
        <v>172</v>
      </c>
      <c r="I176" s="51" t="str">
        <f t="shared" si="89"/>
        <v>ATENDIDO</v>
      </c>
      <c r="J176" s="61">
        <v>714</v>
      </c>
      <c r="K176" s="53">
        <v>42223</v>
      </c>
      <c r="L176" s="53">
        <v>42209</v>
      </c>
      <c r="M176" s="54">
        <v>2</v>
      </c>
      <c r="N176" s="55" t="s">
        <v>266</v>
      </c>
      <c r="O176" s="54">
        <f t="shared" si="90"/>
        <v>14</v>
      </c>
      <c r="P176" s="54">
        <f t="shared" ref="P176:P178" si="91">IF(L176=0,0,(NETWORKDAYS(B176,L176)))</f>
        <v>4</v>
      </c>
      <c r="Q176" s="54">
        <v>1</v>
      </c>
      <c r="R176" s="60" t="s">
        <v>267</v>
      </c>
      <c r="S176" s="30"/>
      <c r="T176" s="33"/>
      <c r="U176" s="29"/>
      <c r="V176" s="33"/>
      <c r="W176" s="30"/>
    </row>
    <row r="177" spans="1:23" s="10" customFormat="1" ht="25.5">
      <c r="A177" s="48" t="s">
        <v>657</v>
      </c>
      <c r="B177" s="49">
        <v>42206</v>
      </c>
      <c r="C177" s="48" t="s">
        <v>68</v>
      </c>
      <c r="D177" s="48" t="s">
        <v>243</v>
      </c>
      <c r="E177" s="48" t="s">
        <v>129</v>
      </c>
      <c r="F177" s="48" t="s">
        <v>461</v>
      </c>
      <c r="G177" s="48" t="s">
        <v>156</v>
      </c>
      <c r="H177" s="50" t="s">
        <v>549</v>
      </c>
      <c r="I177" s="51" t="str">
        <f t="shared" si="89"/>
        <v>ATENDIDO</v>
      </c>
      <c r="J177" s="61" t="s">
        <v>408</v>
      </c>
      <c r="K177" s="53">
        <v>42206</v>
      </c>
      <c r="L177" s="53">
        <v>42212</v>
      </c>
      <c r="M177" s="54">
        <v>1</v>
      </c>
      <c r="N177" s="55" t="s">
        <v>266</v>
      </c>
      <c r="O177" s="54">
        <f t="shared" si="90"/>
        <v>1</v>
      </c>
      <c r="P177" s="54">
        <f t="shared" si="91"/>
        <v>5</v>
      </c>
      <c r="Q177" s="54">
        <v>1</v>
      </c>
      <c r="R177" s="60" t="s">
        <v>267</v>
      </c>
      <c r="S177" s="30"/>
      <c r="T177" s="33"/>
      <c r="U177" s="29"/>
      <c r="V177" s="33"/>
      <c r="W177" s="30"/>
    </row>
    <row r="178" spans="1:23" s="10" customFormat="1" ht="25.5">
      <c r="A178" s="48" t="s">
        <v>655</v>
      </c>
      <c r="B178" s="49">
        <v>42206</v>
      </c>
      <c r="C178" s="48" t="s">
        <v>29</v>
      </c>
      <c r="D178" s="48" t="s">
        <v>243</v>
      </c>
      <c r="E178" s="48" t="s">
        <v>364</v>
      </c>
      <c r="F178" s="48" t="s">
        <v>656</v>
      </c>
      <c r="G178" s="48" t="s">
        <v>155</v>
      </c>
      <c r="H178" s="50" t="s">
        <v>549</v>
      </c>
      <c r="I178" s="51" t="str">
        <f t="shared" si="89"/>
        <v>ATENDIDO</v>
      </c>
      <c r="J178" s="61">
        <v>706</v>
      </c>
      <c r="K178" s="53">
        <v>42208</v>
      </c>
      <c r="L178" s="53">
        <v>42207</v>
      </c>
      <c r="M178" s="54">
        <v>1</v>
      </c>
      <c r="N178" s="55" t="s">
        <v>266</v>
      </c>
      <c r="O178" s="54">
        <f t="shared" si="90"/>
        <v>3</v>
      </c>
      <c r="P178" s="54">
        <f t="shared" si="91"/>
        <v>2</v>
      </c>
      <c r="Q178" s="54">
        <v>1</v>
      </c>
      <c r="R178" s="60" t="s">
        <v>267</v>
      </c>
      <c r="S178" s="30"/>
      <c r="T178" s="33"/>
      <c r="U178" s="29"/>
      <c r="V178" s="33"/>
      <c r="W178" s="30"/>
    </row>
    <row r="179" spans="1:23" s="10" customFormat="1" ht="36" customHeight="1">
      <c r="A179" s="48" t="s">
        <v>654</v>
      </c>
      <c r="B179" s="49">
        <v>42205</v>
      </c>
      <c r="C179" s="48" t="s">
        <v>312</v>
      </c>
      <c r="D179" s="48" t="s">
        <v>243</v>
      </c>
      <c r="E179" s="48" t="s">
        <v>608</v>
      </c>
      <c r="F179" s="48" t="s">
        <v>609</v>
      </c>
      <c r="G179" s="48" t="s">
        <v>313</v>
      </c>
      <c r="H179" s="50" t="s">
        <v>549</v>
      </c>
      <c r="I179" s="51" t="str">
        <f t="shared" ref="I179:I184" si="92">IF(J179=0,"PENDIENTE",IF(J179="C","CORREO ENVIADO",IF(J179="OF","OFICIO EN FIRMA",IF(J179="PF","PLANOS EN FIRMA",IF(J179="OM","OFICIO MAQUINADO","ATENDIDO")))))</f>
        <v>ATENDIDO</v>
      </c>
      <c r="J179" s="61">
        <v>707</v>
      </c>
      <c r="K179" s="53">
        <v>42208</v>
      </c>
      <c r="L179" s="53">
        <v>42207</v>
      </c>
      <c r="M179" s="54">
        <v>1</v>
      </c>
      <c r="N179" s="55" t="s">
        <v>266</v>
      </c>
      <c r="O179" s="63" t="s">
        <v>540</v>
      </c>
      <c r="P179" s="54">
        <f t="shared" ref="P179:P182" si="93">IF(L179=0,0,(NETWORKDAYS(B179,L179)))</f>
        <v>3</v>
      </c>
      <c r="Q179" s="54">
        <v>1</v>
      </c>
      <c r="R179" s="60" t="s">
        <v>267</v>
      </c>
      <c r="S179" s="30"/>
      <c r="T179" s="33"/>
      <c r="U179" s="29"/>
      <c r="V179" s="33"/>
      <c r="W179" s="30"/>
    </row>
    <row r="180" spans="1:23" s="10" customFormat="1" ht="30.75" customHeight="1">
      <c r="A180" s="48" t="s">
        <v>651</v>
      </c>
      <c r="B180" s="49">
        <v>42202</v>
      </c>
      <c r="C180" s="48" t="s">
        <v>12</v>
      </c>
      <c r="D180" s="48" t="s">
        <v>243</v>
      </c>
      <c r="E180" s="48" t="s">
        <v>652</v>
      </c>
      <c r="F180" s="48" t="s">
        <v>653</v>
      </c>
      <c r="G180" s="48" t="s">
        <v>192</v>
      </c>
      <c r="H180" s="50" t="s">
        <v>549</v>
      </c>
      <c r="I180" s="51" t="str">
        <f t="shared" si="92"/>
        <v>ATENDIDO</v>
      </c>
      <c r="J180" s="61" t="s">
        <v>408</v>
      </c>
      <c r="K180" s="53">
        <v>42233</v>
      </c>
      <c r="L180" s="53">
        <v>42208</v>
      </c>
      <c r="M180" s="54">
        <v>1</v>
      </c>
      <c r="N180" s="55" t="s">
        <v>266</v>
      </c>
      <c r="O180" s="64">
        <f t="shared" ref="O180:O185" si="94">IF(K180=0,0,(NETWORKDAYS(B180,K180)))</f>
        <v>22</v>
      </c>
      <c r="P180" s="54">
        <f t="shared" si="93"/>
        <v>5</v>
      </c>
      <c r="Q180" s="54">
        <v>1</v>
      </c>
      <c r="R180" s="60" t="s">
        <v>267</v>
      </c>
      <c r="S180" s="30"/>
      <c r="T180" s="33"/>
      <c r="U180" s="29"/>
      <c r="V180" s="33"/>
      <c r="W180" s="30"/>
    </row>
    <row r="181" spans="1:23" s="10" customFormat="1" ht="25.5">
      <c r="A181" s="48" t="s">
        <v>648</v>
      </c>
      <c r="B181" s="49">
        <v>42201</v>
      </c>
      <c r="C181" s="48" t="s">
        <v>498</v>
      </c>
      <c r="D181" s="48" t="s">
        <v>243</v>
      </c>
      <c r="E181" s="48" t="s">
        <v>649</v>
      </c>
      <c r="F181" s="48" t="s">
        <v>650</v>
      </c>
      <c r="G181" s="48" t="s">
        <v>151</v>
      </c>
      <c r="H181" s="50" t="s">
        <v>549</v>
      </c>
      <c r="I181" s="51" t="str">
        <f t="shared" si="92"/>
        <v>ATENDIDO</v>
      </c>
      <c r="J181" s="61" t="s">
        <v>408</v>
      </c>
      <c r="K181" s="53">
        <v>42212</v>
      </c>
      <c r="L181" s="53">
        <v>42207</v>
      </c>
      <c r="M181" s="54">
        <v>1</v>
      </c>
      <c r="N181" s="55" t="s">
        <v>266</v>
      </c>
      <c r="O181" s="54">
        <f t="shared" si="94"/>
        <v>8</v>
      </c>
      <c r="P181" s="54">
        <f t="shared" si="93"/>
        <v>5</v>
      </c>
      <c r="Q181" s="54">
        <v>1</v>
      </c>
      <c r="R181" s="60" t="s">
        <v>267</v>
      </c>
      <c r="S181" s="30"/>
      <c r="T181" s="33"/>
      <c r="U181" s="29"/>
      <c r="V181" s="33"/>
      <c r="W181" s="30"/>
    </row>
    <row r="182" spans="1:23" s="10" customFormat="1" ht="25.5">
      <c r="A182" s="48" t="s">
        <v>647</v>
      </c>
      <c r="B182" s="49">
        <v>42201</v>
      </c>
      <c r="C182" s="48" t="s">
        <v>29</v>
      </c>
      <c r="D182" s="48" t="s">
        <v>243</v>
      </c>
      <c r="E182" s="48" t="s">
        <v>129</v>
      </c>
      <c r="F182" s="48" t="s">
        <v>471</v>
      </c>
      <c r="G182" s="48" t="s">
        <v>155</v>
      </c>
      <c r="H182" s="50" t="s">
        <v>170</v>
      </c>
      <c r="I182" s="51" t="str">
        <f t="shared" si="92"/>
        <v>ATENDIDO</v>
      </c>
      <c r="J182" s="61">
        <v>684</v>
      </c>
      <c r="K182" s="53">
        <v>42202</v>
      </c>
      <c r="L182" s="53">
        <v>42202</v>
      </c>
      <c r="M182" s="54">
        <v>1</v>
      </c>
      <c r="N182" s="55" t="s">
        <v>266</v>
      </c>
      <c r="O182" s="54">
        <f t="shared" si="94"/>
        <v>2</v>
      </c>
      <c r="P182" s="54">
        <f t="shared" si="93"/>
        <v>2</v>
      </c>
      <c r="Q182" s="54">
        <v>1</v>
      </c>
      <c r="R182" s="60" t="s">
        <v>267</v>
      </c>
      <c r="S182" s="30"/>
      <c r="T182" s="33"/>
      <c r="U182" s="29"/>
      <c r="V182" s="33"/>
      <c r="W182" s="30"/>
    </row>
    <row r="183" spans="1:23" s="10" customFormat="1" ht="25.5">
      <c r="A183" s="48" t="s">
        <v>645</v>
      </c>
      <c r="B183" s="49">
        <v>42200</v>
      </c>
      <c r="C183" s="48" t="s">
        <v>35</v>
      </c>
      <c r="D183" s="48" t="s">
        <v>243</v>
      </c>
      <c r="E183" s="48" t="s">
        <v>111</v>
      </c>
      <c r="F183" s="48" t="s">
        <v>534</v>
      </c>
      <c r="G183" s="48" t="s">
        <v>167</v>
      </c>
      <c r="H183" s="50" t="s">
        <v>549</v>
      </c>
      <c r="I183" s="51" t="str">
        <f t="shared" si="92"/>
        <v>ATENDIDO</v>
      </c>
      <c r="J183" s="61">
        <v>720</v>
      </c>
      <c r="K183" s="53">
        <v>42227</v>
      </c>
      <c r="L183" s="53">
        <v>42206</v>
      </c>
      <c r="M183" s="54">
        <v>1</v>
      </c>
      <c r="N183" s="55" t="s">
        <v>266</v>
      </c>
      <c r="O183" s="54">
        <f t="shared" si="94"/>
        <v>20</v>
      </c>
      <c r="P183" s="54">
        <f t="shared" ref="P183:P196" si="95">IF(L183=0,0,(NETWORKDAYS(B183,L183)))</f>
        <v>5</v>
      </c>
      <c r="Q183" s="54">
        <v>1</v>
      </c>
      <c r="R183" s="60" t="s">
        <v>267</v>
      </c>
      <c r="S183" s="30"/>
      <c r="T183" s="33"/>
      <c r="U183" s="29"/>
      <c r="V183" s="33"/>
      <c r="W183" s="30"/>
    </row>
    <row r="184" spans="1:23" s="10" customFormat="1" ht="25.5">
      <c r="A184" s="48" t="s">
        <v>643</v>
      </c>
      <c r="B184" s="49">
        <v>42199</v>
      </c>
      <c r="C184" s="48" t="s">
        <v>13</v>
      </c>
      <c r="D184" s="48" t="s">
        <v>56</v>
      </c>
      <c r="E184" s="48" t="s">
        <v>73</v>
      </c>
      <c r="F184" s="48" t="s">
        <v>644</v>
      </c>
      <c r="G184" s="48" t="s">
        <v>192</v>
      </c>
      <c r="H184" s="50" t="s">
        <v>170</v>
      </c>
      <c r="I184" s="51" t="str">
        <f t="shared" si="92"/>
        <v>ATENDIDO</v>
      </c>
      <c r="J184" s="61">
        <v>696</v>
      </c>
      <c r="K184" s="53">
        <v>42219</v>
      </c>
      <c r="L184" s="53">
        <v>42200</v>
      </c>
      <c r="M184" s="54">
        <v>1</v>
      </c>
      <c r="N184" s="55" t="s">
        <v>266</v>
      </c>
      <c r="O184" s="54">
        <f t="shared" si="94"/>
        <v>15</v>
      </c>
      <c r="P184" s="54">
        <f t="shared" si="95"/>
        <v>2</v>
      </c>
      <c r="Q184" s="54">
        <v>1</v>
      </c>
      <c r="R184" s="60" t="s">
        <v>267</v>
      </c>
      <c r="S184" s="30"/>
      <c r="T184" s="33"/>
      <c r="U184" s="29"/>
      <c r="V184" s="33"/>
      <c r="W184" s="30"/>
    </row>
    <row r="185" spans="1:23" s="10" customFormat="1" ht="25.5">
      <c r="A185" s="48" t="s">
        <v>642</v>
      </c>
      <c r="B185" s="49">
        <v>42195</v>
      </c>
      <c r="C185" s="48" t="s">
        <v>274</v>
      </c>
      <c r="D185" s="48" t="s">
        <v>10</v>
      </c>
      <c r="E185" s="48" t="s">
        <v>93</v>
      </c>
      <c r="F185" s="48" t="s">
        <v>639</v>
      </c>
      <c r="G185" s="48" t="s">
        <v>151</v>
      </c>
      <c r="H185" s="50" t="s">
        <v>172</v>
      </c>
      <c r="I185" s="51" t="str">
        <f t="shared" ref="I185:I190" si="96">IF(J185=0,"PENDIENTE",IF(J185="C","CORREO ENVIADO",IF(J185="OF","OFICIO EN FIRMA",IF(J185="PF","PLANOS EN FIRMA",IF(J185="OM","OFICIO MAQUINADO","ATENDIDO")))))</f>
        <v>ATENDIDO</v>
      </c>
      <c r="J185" s="61">
        <v>704</v>
      </c>
      <c r="K185" s="53">
        <v>42208</v>
      </c>
      <c r="L185" s="53">
        <v>42199</v>
      </c>
      <c r="M185" s="54">
        <v>1</v>
      </c>
      <c r="N185" s="55" t="s">
        <v>267</v>
      </c>
      <c r="O185" s="54">
        <f t="shared" si="94"/>
        <v>10</v>
      </c>
      <c r="P185" s="54">
        <f t="shared" si="95"/>
        <v>3</v>
      </c>
      <c r="Q185" s="54">
        <v>1</v>
      </c>
      <c r="R185" s="60" t="s">
        <v>267</v>
      </c>
      <c r="S185" s="30"/>
      <c r="T185" s="33"/>
      <c r="U185" s="29"/>
      <c r="V185" s="33"/>
      <c r="W185" s="30"/>
    </row>
    <row r="186" spans="1:23" s="10" customFormat="1" ht="78.75">
      <c r="A186" s="48" t="s">
        <v>640</v>
      </c>
      <c r="B186" s="49">
        <v>42194</v>
      </c>
      <c r="C186" s="48" t="s">
        <v>13</v>
      </c>
      <c r="D186" s="48" t="s">
        <v>56</v>
      </c>
      <c r="E186" s="48" t="s">
        <v>73</v>
      </c>
      <c r="F186" s="48" t="s">
        <v>641</v>
      </c>
      <c r="G186" s="48" t="s">
        <v>192</v>
      </c>
      <c r="H186" s="50" t="s">
        <v>170</v>
      </c>
      <c r="I186" s="51" t="str">
        <f t="shared" si="96"/>
        <v>ATENDIDO</v>
      </c>
      <c r="J186" s="61">
        <v>701</v>
      </c>
      <c r="K186" s="53">
        <v>42219</v>
      </c>
      <c r="L186" s="53">
        <v>42200</v>
      </c>
      <c r="M186" s="54">
        <v>1</v>
      </c>
      <c r="N186" s="55" t="s">
        <v>266</v>
      </c>
      <c r="O186" s="63" t="s">
        <v>540</v>
      </c>
      <c r="P186" s="54">
        <f t="shared" si="95"/>
        <v>5</v>
      </c>
      <c r="Q186" s="54">
        <v>1</v>
      </c>
      <c r="R186" s="60" t="s">
        <v>267</v>
      </c>
      <c r="S186" s="30"/>
      <c r="T186" s="33"/>
      <c r="U186" s="29"/>
      <c r="V186" s="33"/>
      <c r="W186" s="30"/>
    </row>
    <row r="187" spans="1:23" s="10" customFormat="1" ht="78.75">
      <c r="A187" s="48" t="s">
        <v>638</v>
      </c>
      <c r="B187" s="49">
        <v>42194</v>
      </c>
      <c r="C187" s="48" t="s">
        <v>498</v>
      </c>
      <c r="D187" s="48" t="s">
        <v>243</v>
      </c>
      <c r="E187" s="48" t="s">
        <v>93</v>
      </c>
      <c r="F187" s="48" t="s">
        <v>639</v>
      </c>
      <c r="G187" s="48" t="s">
        <v>151</v>
      </c>
      <c r="H187" s="50" t="s">
        <v>172</v>
      </c>
      <c r="I187" s="51" t="str">
        <f t="shared" si="96"/>
        <v>ATENDIDO</v>
      </c>
      <c r="J187" s="61" t="s">
        <v>408</v>
      </c>
      <c r="K187" s="53">
        <v>42216</v>
      </c>
      <c r="L187" s="53">
        <v>42199</v>
      </c>
      <c r="M187" s="54">
        <v>1</v>
      </c>
      <c r="N187" s="55" t="s">
        <v>266</v>
      </c>
      <c r="O187" s="63" t="s">
        <v>540</v>
      </c>
      <c r="P187" s="54">
        <f t="shared" si="95"/>
        <v>4</v>
      </c>
      <c r="Q187" s="54">
        <v>1</v>
      </c>
      <c r="R187" s="60" t="s">
        <v>267</v>
      </c>
      <c r="S187" s="30"/>
      <c r="T187" s="33"/>
      <c r="U187" s="29"/>
      <c r="V187" s="33"/>
      <c r="W187" s="30"/>
    </row>
    <row r="188" spans="1:23" s="10" customFormat="1" ht="78.75">
      <c r="A188" s="48" t="s">
        <v>636</v>
      </c>
      <c r="B188" s="49">
        <v>42193</v>
      </c>
      <c r="C188" s="48" t="s">
        <v>20</v>
      </c>
      <c r="D188" s="48" t="s">
        <v>243</v>
      </c>
      <c r="E188" s="48" t="s">
        <v>86</v>
      </c>
      <c r="F188" s="48" t="s">
        <v>637</v>
      </c>
      <c r="G188" s="48" t="s">
        <v>145</v>
      </c>
      <c r="H188" s="50" t="s">
        <v>172</v>
      </c>
      <c r="I188" s="51" t="str">
        <f t="shared" si="96"/>
        <v>ATENDIDO</v>
      </c>
      <c r="J188" s="61">
        <v>703</v>
      </c>
      <c r="K188" s="53">
        <v>42208</v>
      </c>
      <c r="L188" s="53">
        <v>42194</v>
      </c>
      <c r="M188" s="54">
        <v>1</v>
      </c>
      <c r="N188" s="55" t="s">
        <v>266</v>
      </c>
      <c r="O188" s="63" t="s">
        <v>540</v>
      </c>
      <c r="P188" s="54">
        <f t="shared" si="95"/>
        <v>2</v>
      </c>
      <c r="Q188" s="54">
        <v>1</v>
      </c>
      <c r="R188" s="60" t="s">
        <v>267</v>
      </c>
      <c r="S188" s="30"/>
      <c r="T188" s="33"/>
      <c r="U188" s="29"/>
      <c r="V188" s="33"/>
      <c r="W188" s="30"/>
    </row>
    <row r="189" spans="1:23" s="10" customFormat="1" ht="25.5">
      <c r="A189" s="48" t="s">
        <v>635</v>
      </c>
      <c r="B189" s="49">
        <v>42192</v>
      </c>
      <c r="C189" s="48" t="s">
        <v>20</v>
      </c>
      <c r="D189" s="48" t="s">
        <v>243</v>
      </c>
      <c r="E189" s="48" t="s">
        <v>368</v>
      </c>
      <c r="F189" s="48" t="s">
        <v>369</v>
      </c>
      <c r="G189" s="48" t="s">
        <v>145</v>
      </c>
      <c r="H189" s="50" t="s">
        <v>549</v>
      </c>
      <c r="I189" s="51" t="str">
        <f t="shared" si="96"/>
        <v>ATENDIDO</v>
      </c>
      <c r="J189" s="61" t="s">
        <v>408</v>
      </c>
      <c r="K189" s="53">
        <v>42200</v>
      </c>
      <c r="L189" s="53">
        <v>42195</v>
      </c>
      <c r="M189" s="54">
        <v>1</v>
      </c>
      <c r="N189" s="55" t="s">
        <v>266</v>
      </c>
      <c r="O189" s="64">
        <f>IF(K189=0,0,(NETWORKDAYS(B189,K189)))</f>
        <v>7</v>
      </c>
      <c r="P189" s="54">
        <f t="shared" si="95"/>
        <v>4</v>
      </c>
      <c r="Q189" s="54">
        <v>1</v>
      </c>
      <c r="R189" s="60" t="s">
        <v>267</v>
      </c>
      <c r="S189" s="30"/>
      <c r="T189" s="33"/>
      <c r="U189" s="29"/>
      <c r="V189" s="33"/>
      <c r="W189" s="30"/>
    </row>
    <row r="190" spans="1:23" s="10" customFormat="1" ht="78.75">
      <c r="A190" s="48" t="s">
        <v>633</v>
      </c>
      <c r="B190" s="49">
        <v>42188</v>
      </c>
      <c r="C190" s="48" t="s">
        <v>34</v>
      </c>
      <c r="D190" s="48" t="s">
        <v>243</v>
      </c>
      <c r="E190" s="48" t="s">
        <v>82</v>
      </c>
      <c r="F190" s="48" t="s">
        <v>634</v>
      </c>
      <c r="G190" s="48" t="s">
        <v>192</v>
      </c>
      <c r="H190" s="50" t="s">
        <v>170</v>
      </c>
      <c r="I190" s="51" t="str">
        <f t="shared" si="96"/>
        <v>ATENDIDO</v>
      </c>
      <c r="J190" s="61">
        <v>664</v>
      </c>
      <c r="K190" s="53">
        <v>42188</v>
      </c>
      <c r="L190" s="53">
        <v>42188</v>
      </c>
      <c r="M190" s="54">
        <v>1</v>
      </c>
      <c r="N190" s="55" t="s">
        <v>266</v>
      </c>
      <c r="O190" s="63" t="s">
        <v>540</v>
      </c>
      <c r="P190" s="54">
        <f t="shared" si="95"/>
        <v>1</v>
      </c>
      <c r="Q190" s="54">
        <v>1</v>
      </c>
      <c r="R190" s="60" t="s">
        <v>267</v>
      </c>
      <c r="S190" s="30"/>
      <c r="T190" s="33"/>
      <c r="U190" s="29"/>
      <c r="V190" s="33"/>
      <c r="W190" s="30"/>
    </row>
    <row r="191" spans="1:23" s="10" customFormat="1" ht="25.5">
      <c r="A191" s="48" t="s">
        <v>631</v>
      </c>
      <c r="B191" s="49">
        <v>42186</v>
      </c>
      <c r="C191" s="48" t="s">
        <v>11</v>
      </c>
      <c r="D191" s="48" t="s">
        <v>243</v>
      </c>
      <c r="E191" s="48" t="s">
        <v>129</v>
      </c>
      <c r="F191" s="48" t="s">
        <v>632</v>
      </c>
      <c r="G191" s="48" t="s">
        <v>137</v>
      </c>
      <c r="H191" s="50" t="s">
        <v>170</v>
      </c>
      <c r="I191" s="51" t="str">
        <f t="shared" ref="I191:I197" si="97">IF(J191=0,"PENDIENTE",IF(J191="C","CORREO ENVIADO",IF(J191="OF","OFICIO EN FIRMA",IF(J191="PF","PLANOS EN FIRMA",IF(J191="OM","OFICIO MAQUINADO","ATENDIDO")))))</f>
        <v>ATENDIDO</v>
      </c>
      <c r="J191" s="61">
        <v>662</v>
      </c>
      <c r="K191" s="53">
        <v>42191</v>
      </c>
      <c r="L191" s="53">
        <v>42187</v>
      </c>
      <c r="M191" s="54">
        <v>1</v>
      </c>
      <c r="N191" s="55" t="s">
        <v>266</v>
      </c>
      <c r="O191" s="64">
        <f>IF(K191=0,0,(NETWORKDAYS(B191,K191)))</f>
        <v>4</v>
      </c>
      <c r="P191" s="54">
        <f t="shared" si="95"/>
        <v>2</v>
      </c>
      <c r="Q191" s="54">
        <v>1</v>
      </c>
      <c r="R191" s="60" t="s">
        <v>267</v>
      </c>
      <c r="S191" s="30"/>
      <c r="T191" s="33"/>
      <c r="U191" s="29"/>
      <c r="V191" s="33"/>
      <c r="W191" s="30"/>
    </row>
    <row r="192" spans="1:23" s="10" customFormat="1" ht="25.5">
      <c r="A192" s="48" t="s">
        <v>629</v>
      </c>
      <c r="B192" s="49">
        <v>42186</v>
      </c>
      <c r="C192" s="48" t="s">
        <v>29</v>
      </c>
      <c r="D192" s="48" t="s">
        <v>243</v>
      </c>
      <c r="E192" s="48" t="s">
        <v>331</v>
      </c>
      <c r="F192" s="48" t="s">
        <v>630</v>
      </c>
      <c r="G192" s="48" t="s">
        <v>155</v>
      </c>
      <c r="H192" s="50" t="s">
        <v>172</v>
      </c>
      <c r="I192" s="51" t="str">
        <f t="shared" si="97"/>
        <v>ATENDIDO</v>
      </c>
      <c r="J192" s="61" t="s">
        <v>408</v>
      </c>
      <c r="K192" s="53">
        <v>42188</v>
      </c>
      <c r="L192" s="53">
        <v>42188</v>
      </c>
      <c r="M192" s="54">
        <v>1</v>
      </c>
      <c r="N192" s="55" t="s">
        <v>266</v>
      </c>
      <c r="O192" s="54">
        <f>IF(K192=0,0,(NETWORKDAYS(B192,K192)))</f>
        <v>3</v>
      </c>
      <c r="P192" s="54">
        <f t="shared" si="95"/>
        <v>3</v>
      </c>
      <c r="Q192" s="54">
        <v>1</v>
      </c>
      <c r="R192" s="60" t="s">
        <v>267</v>
      </c>
      <c r="S192" s="30"/>
      <c r="T192" s="33"/>
      <c r="U192" s="29"/>
      <c r="V192" s="33"/>
      <c r="W192" s="30"/>
    </row>
    <row r="193" spans="1:23" s="10" customFormat="1" ht="25.5">
      <c r="A193" s="48" t="s">
        <v>628</v>
      </c>
      <c r="B193" s="49">
        <v>42185</v>
      </c>
      <c r="C193" s="48" t="s">
        <v>23</v>
      </c>
      <c r="D193" s="48" t="s">
        <v>56</v>
      </c>
      <c r="E193" s="48" t="s">
        <v>73</v>
      </c>
      <c r="F193" s="48" t="s">
        <v>624</v>
      </c>
      <c r="G193" s="48" t="s">
        <v>144</v>
      </c>
      <c r="H193" s="50" t="s">
        <v>170</v>
      </c>
      <c r="I193" s="51" t="str">
        <f t="shared" si="97"/>
        <v>ATENDIDO</v>
      </c>
      <c r="J193" s="61">
        <v>660</v>
      </c>
      <c r="K193" s="53">
        <v>42187</v>
      </c>
      <c r="L193" s="53">
        <v>42187</v>
      </c>
      <c r="M193" s="54">
        <v>1</v>
      </c>
      <c r="N193" s="55" t="s">
        <v>266</v>
      </c>
      <c r="O193" s="54">
        <f>IF(K193=0,0,(NETWORKDAYS(B193,K193)))</f>
        <v>3</v>
      </c>
      <c r="P193" s="54">
        <f t="shared" si="95"/>
        <v>3</v>
      </c>
      <c r="Q193" s="54">
        <v>1</v>
      </c>
      <c r="R193" s="60" t="s">
        <v>267</v>
      </c>
      <c r="S193" s="30"/>
      <c r="T193" s="33"/>
      <c r="U193" s="29"/>
      <c r="V193" s="33"/>
      <c r="W193" s="30"/>
    </row>
    <row r="194" spans="1:23" s="10" customFormat="1" ht="25.5">
      <c r="A194" s="48" t="s">
        <v>626</v>
      </c>
      <c r="B194" s="49">
        <v>42180</v>
      </c>
      <c r="C194" s="48" t="s">
        <v>13</v>
      </c>
      <c r="D194" s="48" t="s">
        <v>56</v>
      </c>
      <c r="E194" s="48" t="s">
        <v>73</v>
      </c>
      <c r="F194" s="48" t="s">
        <v>624</v>
      </c>
      <c r="G194" s="48" t="s">
        <v>192</v>
      </c>
      <c r="H194" s="50" t="s">
        <v>170</v>
      </c>
      <c r="I194" s="51" t="str">
        <f t="shared" si="97"/>
        <v>ATENDIDO</v>
      </c>
      <c r="J194" s="61">
        <v>660</v>
      </c>
      <c r="K194" s="53">
        <v>42187</v>
      </c>
      <c r="L194" s="53">
        <v>42180</v>
      </c>
      <c r="M194" s="54">
        <v>1</v>
      </c>
      <c r="N194" s="55" t="s">
        <v>266</v>
      </c>
      <c r="O194" s="54">
        <f t="shared" ref="O194:O199" si="98">IF(K194=0,0,(NETWORKDAYS(B194,K194)))</f>
        <v>6</v>
      </c>
      <c r="P194" s="54">
        <f t="shared" si="95"/>
        <v>1</v>
      </c>
      <c r="Q194" s="54">
        <v>1</v>
      </c>
      <c r="R194" s="60" t="s">
        <v>267</v>
      </c>
      <c r="S194" s="30"/>
      <c r="T194" s="33"/>
      <c r="U194" s="29"/>
      <c r="V194" s="33"/>
      <c r="W194" s="30"/>
    </row>
    <row r="195" spans="1:23" s="10" customFormat="1" ht="25.5">
      <c r="A195" s="48" t="s">
        <v>625</v>
      </c>
      <c r="B195" s="49">
        <v>42180</v>
      </c>
      <c r="C195" s="48" t="s">
        <v>13</v>
      </c>
      <c r="D195" s="48" t="s">
        <v>56</v>
      </c>
      <c r="E195" s="48" t="s">
        <v>73</v>
      </c>
      <c r="F195" s="48" t="s">
        <v>624</v>
      </c>
      <c r="G195" s="48" t="s">
        <v>192</v>
      </c>
      <c r="H195" s="50" t="s">
        <v>170</v>
      </c>
      <c r="I195" s="51" t="str">
        <f t="shared" si="97"/>
        <v>ATENDIDO</v>
      </c>
      <c r="J195" s="61">
        <v>660</v>
      </c>
      <c r="K195" s="53">
        <v>42187</v>
      </c>
      <c r="L195" s="53">
        <v>42187</v>
      </c>
      <c r="M195" s="54">
        <v>1</v>
      </c>
      <c r="N195" s="55" t="s">
        <v>266</v>
      </c>
      <c r="O195" s="54">
        <f t="shared" si="98"/>
        <v>6</v>
      </c>
      <c r="P195" s="54">
        <f t="shared" si="95"/>
        <v>6</v>
      </c>
      <c r="Q195" s="54">
        <v>1</v>
      </c>
      <c r="R195" s="60" t="s">
        <v>267</v>
      </c>
      <c r="S195" s="30"/>
      <c r="T195" s="33"/>
      <c r="U195" s="29"/>
      <c r="V195" s="33"/>
      <c r="W195" s="30"/>
    </row>
    <row r="196" spans="1:23" s="10" customFormat="1" ht="25.5">
      <c r="A196" s="48" t="s">
        <v>623</v>
      </c>
      <c r="B196" s="49">
        <v>42180</v>
      </c>
      <c r="C196" s="48" t="s">
        <v>13</v>
      </c>
      <c r="D196" s="48" t="s">
        <v>56</v>
      </c>
      <c r="E196" s="48" t="s">
        <v>73</v>
      </c>
      <c r="F196" s="48" t="s">
        <v>624</v>
      </c>
      <c r="G196" s="48" t="s">
        <v>192</v>
      </c>
      <c r="H196" s="50" t="s">
        <v>170</v>
      </c>
      <c r="I196" s="51" t="str">
        <f t="shared" si="97"/>
        <v>ATENDIDO</v>
      </c>
      <c r="J196" s="61">
        <v>660</v>
      </c>
      <c r="K196" s="53">
        <v>42187</v>
      </c>
      <c r="L196" s="53">
        <v>42187</v>
      </c>
      <c r="M196" s="54">
        <v>1</v>
      </c>
      <c r="N196" s="55" t="s">
        <v>266</v>
      </c>
      <c r="O196" s="54">
        <f t="shared" si="98"/>
        <v>6</v>
      </c>
      <c r="P196" s="54">
        <f t="shared" si="95"/>
        <v>6</v>
      </c>
      <c r="Q196" s="54">
        <v>1</v>
      </c>
      <c r="R196" s="60" t="s">
        <v>267</v>
      </c>
      <c r="S196" s="30"/>
      <c r="T196" s="33"/>
      <c r="U196" s="29"/>
      <c r="V196" s="33"/>
      <c r="W196" s="30"/>
    </row>
    <row r="197" spans="1:23" s="10" customFormat="1" ht="25.5">
      <c r="A197" s="48" t="s">
        <v>622</v>
      </c>
      <c r="B197" s="49">
        <v>42178</v>
      </c>
      <c r="C197" s="48" t="s">
        <v>20</v>
      </c>
      <c r="D197" s="48" t="s">
        <v>56</v>
      </c>
      <c r="E197" s="48" t="s">
        <v>86</v>
      </c>
      <c r="F197" s="48" t="s">
        <v>526</v>
      </c>
      <c r="G197" s="48" t="s">
        <v>145</v>
      </c>
      <c r="H197" s="50" t="s">
        <v>172</v>
      </c>
      <c r="I197" s="51" t="str">
        <f t="shared" si="97"/>
        <v>ATENDIDO</v>
      </c>
      <c r="J197" s="61">
        <v>663</v>
      </c>
      <c r="K197" s="53">
        <v>42188</v>
      </c>
      <c r="L197" s="53">
        <v>42178</v>
      </c>
      <c r="M197" s="54">
        <v>1</v>
      </c>
      <c r="N197" s="55" t="s">
        <v>266</v>
      </c>
      <c r="O197" s="54">
        <f t="shared" si="98"/>
        <v>9</v>
      </c>
      <c r="P197" s="54">
        <f t="shared" ref="P197:P200" si="99">IF(L197=0,0,(NETWORKDAYS(B197,L197)))</f>
        <v>1</v>
      </c>
      <c r="Q197" s="54">
        <v>1</v>
      </c>
      <c r="R197" s="60" t="s">
        <v>267</v>
      </c>
      <c r="S197" s="30"/>
      <c r="T197" s="33"/>
      <c r="U197" s="29"/>
      <c r="V197" s="33"/>
      <c r="W197" s="30"/>
    </row>
    <row r="198" spans="1:23" s="10" customFormat="1" ht="25.5">
      <c r="A198" s="48" t="s">
        <v>620</v>
      </c>
      <c r="B198" s="49">
        <v>42174</v>
      </c>
      <c r="C198" s="48" t="s">
        <v>12</v>
      </c>
      <c r="D198" s="48" t="s">
        <v>10</v>
      </c>
      <c r="E198" s="48" t="s">
        <v>71</v>
      </c>
      <c r="F198" s="48" t="s">
        <v>399</v>
      </c>
      <c r="G198" s="48" t="s">
        <v>192</v>
      </c>
      <c r="H198" s="50" t="s">
        <v>549</v>
      </c>
      <c r="I198" s="51" t="str">
        <f t="shared" ref="I198:I203" si="100">IF(J198=0,"PENDIENTE",IF(J198="C","CORREO ENVIADO",IF(J198="OF","OFICIO EN FIRMA",IF(J198="PF","PLANOS EN FIRMA",IF(J198="OM","OFICIO MAQUINADO","ATENDIDO")))))</f>
        <v>ATENDIDO</v>
      </c>
      <c r="J198" s="61">
        <v>672</v>
      </c>
      <c r="K198" s="53">
        <v>42191</v>
      </c>
      <c r="L198" s="53">
        <v>42184</v>
      </c>
      <c r="M198" s="54">
        <v>5</v>
      </c>
      <c r="N198" s="55" t="s">
        <v>266</v>
      </c>
      <c r="O198" s="54">
        <f t="shared" si="98"/>
        <v>12</v>
      </c>
      <c r="P198" s="54">
        <f t="shared" si="99"/>
        <v>7</v>
      </c>
      <c r="Q198" s="54">
        <v>1</v>
      </c>
      <c r="R198" s="60" t="s">
        <v>267</v>
      </c>
      <c r="S198" s="30"/>
      <c r="T198" s="33"/>
      <c r="U198" s="29"/>
      <c r="V198" s="33"/>
      <c r="W198" s="30"/>
    </row>
    <row r="199" spans="1:23" s="10" customFormat="1" ht="25.5">
      <c r="A199" s="48" t="s">
        <v>619</v>
      </c>
      <c r="B199" s="49">
        <v>42174</v>
      </c>
      <c r="C199" s="48" t="s">
        <v>25</v>
      </c>
      <c r="D199" s="48" t="s">
        <v>243</v>
      </c>
      <c r="E199" s="48" t="s">
        <v>71</v>
      </c>
      <c r="F199" s="48" t="s">
        <v>399</v>
      </c>
      <c r="G199" s="48" t="s">
        <v>192</v>
      </c>
      <c r="H199" s="50" t="s">
        <v>549</v>
      </c>
      <c r="I199" s="51" t="str">
        <f t="shared" si="100"/>
        <v>ATENDIDO</v>
      </c>
      <c r="J199" s="61">
        <v>671</v>
      </c>
      <c r="K199" s="53">
        <v>42191</v>
      </c>
      <c r="L199" s="53">
        <v>42184</v>
      </c>
      <c r="M199" s="54">
        <v>2</v>
      </c>
      <c r="N199" s="55" t="s">
        <v>266</v>
      </c>
      <c r="O199" s="54">
        <f t="shared" si="98"/>
        <v>12</v>
      </c>
      <c r="P199" s="54">
        <f t="shared" si="99"/>
        <v>7</v>
      </c>
      <c r="Q199" s="54">
        <v>1</v>
      </c>
      <c r="R199" s="60" t="s">
        <v>267</v>
      </c>
      <c r="S199" s="30"/>
      <c r="T199" s="33"/>
      <c r="U199" s="29"/>
      <c r="V199" s="33"/>
      <c r="W199" s="30"/>
    </row>
    <row r="200" spans="1:23" s="10" customFormat="1" ht="78.75">
      <c r="A200" s="48" t="s">
        <v>618</v>
      </c>
      <c r="B200" s="49">
        <v>42173</v>
      </c>
      <c r="C200" s="48" t="s">
        <v>179</v>
      </c>
      <c r="D200" s="48" t="s">
        <v>243</v>
      </c>
      <c r="E200" s="48" t="s">
        <v>106</v>
      </c>
      <c r="F200" s="48" t="s">
        <v>495</v>
      </c>
      <c r="G200" s="48" t="s">
        <v>144</v>
      </c>
      <c r="H200" s="50" t="s">
        <v>170</v>
      </c>
      <c r="I200" s="51" t="str">
        <f t="shared" si="100"/>
        <v>ATENDIDO</v>
      </c>
      <c r="J200" s="61" t="s">
        <v>646</v>
      </c>
      <c r="K200" s="53">
        <v>42199</v>
      </c>
      <c r="L200" s="53">
        <v>42178</v>
      </c>
      <c r="M200" s="54">
        <v>2</v>
      </c>
      <c r="N200" s="55" t="s">
        <v>266</v>
      </c>
      <c r="O200" s="63" t="s">
        <v>540</v>
      </c>
      <c r="P200" s="54">
        <f t="shared" si="99"/>
        <v>4</v>
      </c>
      <c r="Q200" s="54">
        <v>1</v>
      </c>
      <c r="R200" s="60" t="s">
        <v>267</v>
      </c>
      <c r="S200" s="30"/>
      <c r="T200" s="33"/>
      <c r="U200" s="29"/>
      <c r="V200" s="33"/>
      <c r="W200" s="30"/>
    </row>
    <row r="201" spans="1:23" s="10" customFormat="1" ht="78.75">
      <c r="A201" s="48" t="s">
        <v>617</v>
      </c>
      <c r="B201" s="49">
        <v>42172</v>
      </c>
      <c r="C201" s="48" t="s">
        <v>31</v>
      </c>
      <c r="D201" s="48" t="s">
        <v>243</v>
      </c>
      <c r="E201" s="48" t="s">
        <v>95</v>
      </c>
      <c r="F201" s="48" t="s">
        <v>396</v>
      </c>
      <c r="G201" s="48" t="s">
        <v>140</v>
      </c>
      <c r="H201" s="50" t="s">
        <v>549</v>
      </c>
      <c r="I201" s="51" t="str">
        <f t="shared" si="100"/>
        <v>ATENDIDO</v>
      </c>
      <c r="J201" s="61">
        <v>648</v>
      </c>
      <c r="K201" s="53">
        <v>42184</v>
      </c>
      <c r="L201" s="53">
        <v>42177</v>
      </c>
      <c r="M201" s="54">
        <v>1</v>
      </c>
      <c r="N201" s="55" t="s">
        <v>266</v>
      </c>
      <c r="O201" s="63" t="s">
        <v>540</v>
      </c>
      <c r="P201" s="54">
        <f t="shared" ref="P201:P209" si="101">IF(L201=0,0,(NETWORKDAYS(B201,L201)))</f>
        <v>4</v>
      </c>
      <c r="Q201" s="54">
        <v>1</v>
      </c>
      <c r="R201" s="60" t="s">
        <v>267</v>
      </c>
      <c r="S201" s="30"/>
      <c r="T201" s="33"/>
      <c r="U201" s="29"/>
      <c r="V201" s="33"/>
      <c r="W201" s="30"/>
    </row>
    <row r="202" spans="1:23" s="10" customFormat="1" ht="78.75">
      <c r="A202" s="48" t="s">
        <v>616</v>
      </c>
      <c r="B202" s="49">
        <v>42171</v>
      </c>
      <c r="C202" s="48" t="s">
        <v>20</v>
      </c>
      <c r="D202" s="48" t="s">
        <v>621</v>
      </c>
      <c r="E202" s="48" t="s">
        <v>86</v>
      </c>
      <c r="F202" s="48" t="s">
        <v>526</v>
      </c>
      <c r="G202" s="48" t="s">
        <v>145</v>
      </c>
      <c r="H202" s="50" t="s">
        <v>172</v>
      </c>
      <c r="I202" s="51" t="str">
        <f t="shared" si="100"/>
        <v>ATENDIDO</v>
      </c>
      <c r="J202" s="52" t="s">
        <v>627</v>
      </c>
      <c r="K202" s="53">
        <v>42178</v>
      </c>
      <c r="L202" s="53">
        <v>42178</v>
      </c>
      <c r="M202" s="54">
        <v>1</v>
      </c>
      <c r="N202" s="55" t="s">
        <v>266</v>
      </c>
      <c r="O202" s="63" t="s">
        <v>540</v>
      </c>
      <c r="P202" s="54">
        <f t="shared" si="101"/>
        <v>6</v>
      </c>
      <c r="Q202" s="54">
        <v>1</v>
      </c>
      <c r="R202" s="60" t="s">
        <v>267</v>
      </c>
      <c r="S202" s="30"/>
      <c r="T202" s="33"/>
      <c r="U202" s="29"/>
      <c r="V202" s="33"/>
      <c r="W202" s="30"/>
    </row>
    <row r="203" spans="1:23" s="10" customFormat="1" ht="78.75">
      <c r="A203" s="48" t="s">
        <v>614</v>
      </c>
      <c r="B203" s="49">
        <v>42170</v>
      </c>
      <c r="C203" s="48" t="s">
        <v>11</v>
      </c>
      <c r="D203" s="48" t="s">
        <v>243</v>
      </c>
      <c r="E203" s="48" t="s">
        <v>91</v>
      </c>
      <c r="F203" s="48" t="s">
        <v>615</v>
      </c>
      <c r="G203" s="48" t="s">
        <v>137</v>
      </c>
      <c r="H203" s="50" t="s">
        <v>170</v>
      </c>
      <c r="I203" s="51" t="str">
        <f t="shared" si="100"/>
        <v>ATENDIDO</v>
      </c>
      <c r="J203" s="61">
        <v>640</v>
      </c>
      <c r="K203" s="53">
        <v>42174</v>
      </c>
      <c r="L203" s="53">
        <v>42174</v>
      </c>
      <c r="M203" s="54">
        <v>1</v>
      </c>
      <c r="N203" s="55" t="s">
        <v>266</v>
      </c>
      <c r="O203" s="63" t="s">
        <v>540</v>
      </c>
      <c r="P203" s="54">
        <f t="shared" si="101"/>
        <v>5</v>
      </c>
      <c r="Q203" s="54">
        <v>1</v>
      </c>
      <c r="R203" s="60" t="s">
        <v>267</v>
      </c>
      <c r="S203" s="30"/>
      <c r="T203" s="33"/>
      <c r="U203" s="29"/>
      <c r="V203" s="33"/>
      <c r="W203" s="30"/>
    </row>
    <row r="204" spans="1:23" s="10" customFormat="1" ht="25.5">
      <c r="A204" s="48" t="s">
        <v>611</v>
      </c>
      <c r="B204" s="49">
        <v>42170</v>
      </c>
      <c r="C204" s="48" t="s">
        <v>34</v>
      </c>
      <c r="D204" s="48" t="s">
        <v>243</v>
      </c>
      <c r="E204" s="48" t="s">
        <v>612</v>
      </c>
      <c r="F204" s="48" t="s">
        <v>613</v>
      </c>
      <c r="G204" s="48" t="s">
        <v>192</v>
      </c>
      <c r="H204" s="50" t="s">
        <v>549</v>
      </c>
      <c r="I204" s="51" t="str">
        <f t="shared" ref="I204:I210" si="102">IF(J204=0,"PENDIENTE",IF(J204="C","CORREO ENVIADO",IF(J204="OF","OFICIO EN FIRMA",IF(J204="PF","PLANOS EN FIRMA",IF(J204="OM","OFICIO MAQUINADO","ATENDIDO")))))</f>
        <v>ATENDIDO</v>
      </c>
      <c r="J204" s="61" t="s">
        <v>408</v>
      </c>
      <c r="K204" s="53">
        <v>42200</v>
      </c>
      <c r="L204" s="53">
        <v>42174</v>
      </c>
      <c r="M204" s="54">
        <v>1</v>
      </c>
      <c r="N204" s="55" t="s">
        <v>266</v>
      </c>
      <c r="O204" s="64">
        <f>IF(K204=0,0,(NETWORKDAYS(B204,K204)))</f>
        <v>23</v>
      </c>
      <c r="P204" s="54">
        <f t="shared" si="101"/>
        <v>5</v>
      </c>
      <c r="Q204" s="54">
        <v>1</v>
      </c>
      <c r="R204" s="60" t="s">
        <v>267</v>
      </c>
      <c r="S204" s="30"/>
      <c r="T204" s="33"/>
      <c r="U204" s="29"/>
      <c r="V204" s="33"/>
      <c r="W204" s="30"/>
    </row>
    <row r="205" spans="1:23" s="10" customFormat="1" ht="25.5">
      <c r="A205" s="48" t="s">
        <v>610</v>
      </c>
      <c r="B205" s="49">
        <v>42167</v>
      </c>
      <c r="C205" s="48" t="s">
        <v>312</v>
      </c>
      <c r="D205" s="48" t="s">
        <v>243</v>
      </c>
      <c r="E205" s="48" t="s">
        <v>608</v>
      </c>
      <c r="F205" s="48" t="s">
        <v>609</v>
      </c>
      <c r="G205" s="48" t="s">
        <v>313</v>
      </c>
      <c r="H205" s="50" t="s">
        <v>170</v>
      </c>
      <c r="I205" s="51" t="str">
        <f t="shared" si="102"/>
        <v>ATENDIDO</v>
      </c>
      <c r="J205" s="61" t="s">
        <v>606</v>
      </c>
      <c r="K205" s="53">
        <v>42200</v>
      </c>
      <c r="L205" s="53">
        <v>42174</v>
      </c>
      <c r="M205" s="54">
        <v>1</v>
      </c>
      <c r="N205" s="55" t="s">
        <v>266</v>
      </c>
      <c r="O205" s="54">
        <f>IF(K205=0,0,(NETWORKDAYS(B205,K205)))</f>
        <v>24</v>
      </c>
      <c r="P205" s="54">
        <f t="shared" si="101"/>
        <v>6</v>
      </c>
      <c r="Q205" s="54">
        <v>1</v>
      </c>
      <c r="R205" s="60" t="s">
        <v>267</v>
      </c>
      <c r="S205" s="30"/>
      <c r="T205" s="33"/>
      <c r="U205" s="29"/>
      <c r="V205" s="33"/>
      <c r="W205" s="30"/>
    </row>
    <row r="206" spans="1:23" s="10" customFormat="1" ht="25.5">
      <c r="A206" s="48" t="s">
        <v>607</v>
      </c>
      <c r="B206" s="49">
        <v>42167</v>
      </c>
      <c r="C206" s="48" t="s">
        <v>45</v>
      </c>
      <c r="D206" s="48" t="s">
        <v>243</v>
      </c>
      <c r="E206" s="48" t="s">
        <v>608</v>
      </c>
      <c r="F206" s="48" t="s">
        <v>609</v>
      </c>
      <c r="G206" s="48" t="s">
        <v>145</v>
      </c>
      <c r="H206" s="50" t="s">
        <v>170</v>
      </c>
      <c r="I206" s="51" t="str">
        <f t="shared" si="102"/>
        <v>ATENDIDO</v>
      </c>
      <c r="J206" s="61">
        <v>659</v>
      </c>
      <c r="K206" s="53">
        <v>42184</v>
      </c>
      <c r="L206" s="53">
        <v>42174</v>
      </c>
      <c r="M206" s="54">
        <v>1</v>
      </c>
      <c r="N206" s="55" t="s">
        <v>266</v>
      </c>
      <c r="O206" s="54">
        <f>IF(K206=0,0,(NETWORKDAYS(B206,K206)))</f>
        <v>12</v>
      </c>
      <c r="P206" s="54">
        <f t="shared" si="101"/>
        <v>6</v>
      </c>
      <c r="Q206" s="54">
        <v>1</v>
      </c>
      <c r="R206" s="60" t="s">
        <v>267</v>
      </c>
      <c r="S206" s="30"/>
      <c r="T206" s="33"/>
      <c r="U206" s="29"/>
      <c r="V206" s="33"/>
      <c r="W206" s="30"/>
    </row>
    <row r="207" spans="1:23" s="10" customFormat="1" ht="25.5">
      <c r="A207" s="48" t="s">
        <v>605</v>
      </c>
      <c r="B207" s="49">
        <v>42163</v>
      </c>
      <c r="C207" s="48" t="s">
        <v>316</v>
      </c>
      <c r="D207" s="48" t="s">
        <v>243</v>
      </c>
      <c r="E207" s="48" t="s">
        <v>91</v>
      </c>
      <c r="F207" s="48" t="s">
        <v>603</v>
      </c>
      <c r="G207" s="48" t="s">
        <v>155</v>
      </c>
      <c r="H207" s="50" t="s">
        <v>170</v>
      </c>
      <c r="I207" s="51" t="str">
        <f t="shared" si="102"/>
        <v>ATENDIDO</v>
      </c>
      <c r="J207" s="61">
        <v>646</v>
      </c>
      <c r="K207" s="53">
        <v>42178</v>
      </c>
      <c r="L207" s="53">
        <v>42177</v>
      </c>
      <c r="M207" s="54">
        <v>1</v>
      </c>
      <c r="N207" s="55" t="s">
        <v>266</v>
      </c>
      <c r="O207" s="54">
        <f t="shared" ref="O207:O212" si="103">IF(K207=0,0,(NETWORKDAYS(B207,K207)))</f>
        <v>12</v>
      </c>
      <c r="P207" s="54">
        <f t="shared" si="101"/>
        <v>11</v>
      </c>
      <c r="Q207" s="54">
        <v>1</v>
      </c>
      <c r="R207" s="60" t="s">
        <v>267</v>
      </c>
      <c r="S207" s="30"/>
      <c r="T207" s="33"/>
      <c r="U207" s="29"/>
      <c r="V207" s="33"/>
      <c r="W207" s="30"/>
    </row>
    <row r="208" spans="1:23" s="10" customFormat="1" ht="25.5">
      <c r="A208" s="48" t="s">
        <v>604</v>
      </c>
      <c r="B208" s="49">
        <v>42163</v>
      </c>
      <c r="C208" s="48" t="s">
        <v>317</v>
      </c>
      <c r="D208" s="48" t="s">
        <v>243</v>
      </c>
      <c r="E208" s="48" t="s">
        <v>91</v>
      </c>
      <c r="F208" s="48" t="s">
        <v>603</v>
      </c>
      <c r="G208" s="48" t="s">
        <v>155</v>
      </c>
      <c r="H208" s="50" t="s">
        <v>170</v>
      </c>
      <c r="I208" s="51" t="str">
        <f t="shared" si="102"/>
        <v>ATENDIDO</v>
      </c>
      <c r="J208" s="61">
        <v>642</v>
      </c>
      <c r="K208" s="53">
        <v>42177</v>
      </c>
      <c r="L208" s="53">
        <v>42177</v>
      </c>
      <c r="M208" s="54">
        <v>1</v>
      </c>
      <c r="N208" s="55" t="s">
        <v>266</v>
      </c>
      <c r="O208" s="54">
        <f t="shared" si="103"/>
        <v>11</v>
      </c>
      <c r="P208" s="54">
        <f t="shared" si="101"/>
        <v>11</v>
      </c>
      <c r="Q208" s="54">
        <v>1</v>
      </c>
      <c r="R208" s="60" t="s">
        <v>267</v>
      </c>
      <c r="S208" s="30"/>
      <c r="T208" s="33"/>
      <c r="U208" s="29"/>
      <c r="V208" s="33"/>
      <c r="W208" s="30"/>
    </row>
    <row r="209" spans="1:23" s="10" customFormat="1" ht="25.5">
      <c r="A209" s="48" t="s">
        <v>602</v>
      </c>
      <c r="B209" s="49">
        <v>42163</v>
      </c>
      <c r="C209" s="48" t="s">
        <v>498</v>
      </c>
      <c r="D209" s="48" t="s">
        <v>243</v>
      </c>
      <c r="E209" s="48" t="s">
        <v>93</v>
      </c>
      <c r="F209" s="48" t="s">
        <v>580</v>
      </c>
      <c r="G209" s="48" t="s">
        <v>151</v>
      </c>
      <c r="H209" s="50" t="s">
        <v>172</v>
      </c>
      <c r="I209" s="51" t="str">
        <f t="shared" si="102"/>
        <v>ATENDIDO</v>
      </c>
      <c r="J209" s="61" t="s">
        <v>408</v>
      </c>
      <c r="K209" s="53">
        <v>42177</v>
      </c>
      <c r="L209" s="53">
        <v>42177</v>
      </c>
      <c r="M209" s="54">
        <v>1</v>
      </c>
      <c r="N209" s="55" t="s">
        <v>266</v>
      </c>
      <c r="O209" s="54">
        <f t="shared" si="103"/>
        <v>11</v>
      </c>
      <c r="P209" s="54">
        <f t="shared" si="101"/>
        <v>11</v>
      </c>
      <c r="Q209" s="54">
        <v>1</v>
      </c>
      <c r="R209" s="60" t="s">
        <v>267</v>
      </c>
      <c r="S209" s="30"/>
      <c r="T209" s="33"/>
      <c r="U209" s="29"/>
      <c r="V209" s="33"/>
      <c r="W209" s="30"/>
    </row>
    <row r="210" spans="1:23" s="10" customFormat="1" ht="25.5">
      <c r="A210" s="48" t="s">
        <v>601</v>
      </c>
      <c r="B210" s="49">
        <v>42159</v>
      </c>
      <c r="C210" s="48" t="s">
        <v>32</v>
      </c>
      <c r="D210" s="48" t="s">
        <v>243</v>
      </c>
      <c r="E210" s="48" t="s">
        <v>301</v>
      </c>
      <c r="F210" s="48" t="s">
        <v>589</v>
      </c>
      <c r="G210" s="48" t="s">
        <v>192</v>
      </c>
      <c r="H210" s="50" t="s">
        <v>170</v>
      </c>
      <c r="I210" s="51" t="str">
        <f t="shared" si="102"/>
        <v>ATENDIDO</v>
      </c>
      <c r="J210" s="61">
        <v>614</v>
      </c>
      <c r="K210" s="53">
        <v>42163</v>
      </c>
      <c r="L210" s="53">
        <v>42163</v>
      </c>
      <c r="M210" s="54">
        <v>1</v>
      </c>
      <c r="N210" s="55" t="s">
        <v>266</v>
      </c>
      <c r="O210" s="54">
        <f t="shared" si="103"/>
        <v>3</v>
      </c>
      <c r="P210" s="54">
        <f t="shared" ref="P210:P216" si="104">IF(L210=0,0,(NETWORKDAYS(B210,L210)))</f>
        <v>3</v>
      </c>
      <c r="Q210" s="54">
        <v>1</v>
      </c>
      <c r="R210" s="60" t="s">
        <v>267</v>
      </c>
      <c r="S210" s="30"/>
      <c r="T210" s="33"/>
      <c r="U210" s="29"/>
      <c r="V210" s="33"/>
      <c r="W210" s="30"/>
    </row>
    <row r="211" spans="1:23" s="10" customFormat="1" ht="25.5">
      <c r="A211" s="48" t="s">
        <v>600</v>
      </c>
      <c r="B211" s="49">
        <v>42157</v>
      </c>
      <c r="C211" s="48" t="s">
        <v>47</v>
      </c>
      <c r="D211" s="48" t="s">
        <v>243</v>
      </c>
      <c r="E211" s="48" t="s">
        <v>533</v>
      </c>
      <c r="F211" s="48" t="s">
        <v>534</v>
      </c>
      <c r="G211" s="48" t="s">
        <v>167</v>
      </c>
      <c r="H211" s="50" t="s">
        <v>170</v>
      </c>
      <c r="I211" s="51" t="str">
        <f t="shared" ref="I211:I216" si="105">IF(J211=0,"PENDIENTE",IF(J211="C","CORREO ENVIADO",IF(J211="OF","OFICIO EN FIRMA",IF(J211="PF","PLANOS EN FIRMA",IF(J211="OM","OFICIO MAQUINADO","ATENDIDO")))))</f>
        <v>ATENDIDO</v>
      </c>
      <c r="J211" s="61">
        <v>626</v>
      </c>
      <c r="K211" s="53">
        <v>42165</v>
      </c>
      <c r="L211" s="53">
        <v>42165</v>
      </c>
      <c r="M211" s="54">
        <v>1</v>
      </c>
      <c r="N211" s="55" t="s">
        <v>266</v>
      </c>
      <c r="O211" s="54">
        <f t="shared" si="103"/>
        <v>7</v>
      </c>
      <c r="P211" s="54">
        <f t="shared" si="104"/>
        <v>7</v>
      </c>
      <c r="Q211" s="54">
        <v>1</v>
      </c>
      <c r="R211" s="60" t="s">
        <v>267</v>
      </c>
      <c r="S211" s="30"/>
      <c r="T211" s="33"/>
      <c r="U211" s="29"/>
      <c r="V211" s="33"/>
      <c r="W211" s="30"/>
    </row>
    <row r="212" spans="1:23" s="10" customFormat="1" ht="51">
      <c r="A212" s="48" t="s">
        <v>599</v>
      </c>
      <c r="B212" s="49">
        <v>42157</v>
      </c>
      <c r="C212" s="48" t="s">
        <v>32</v>
      </c>
      <c r="D212" s="48" t="s">
        <v>243</v>
      </c>
      <c r="E212" s="48" t="s">
        <v>354</v>
      </c>
      <c r="F212" s="48" t="s">
        <v>974</v>
      </c>
      <c r="G212" s="48" t="s">
        <v>192</v>
      </c>
      <c r="H212" s="50" t="s">
        <v>170</v>
      </c>
      <c r="I212" s="51" t="str">
        <f t="shared" si="105"/>
        <v>ATENDIDO</v>
      </c>
      <c r="J212" s="61">
        <v>628</v>
      </c>
      <c r="K212" s="53">
        <v>42167</v>
      </c>
      <c r="L212" s="53">
        <v>42167</v>
      </c>
      <c r="M212" s="54">
        <v>1</v>
      </c>
      <c r="N212" s="55" t="s">
        <v>266</v>
      </c>
      <c r="O212" s="54">
        <f t="shared" si="103"/>
        <v>9</v>
      </c>
      <c r="P212" s="54">
        <f t="shared" si="104"/>
        <v>9</v>
      </c>
      <c r="Q212" s="54">
        <v>1</v>
      </c>
      <c r="R212" s="60" t="s">
        <v>267</v>
      </c>
      <c r="S212" s="30"/>
      <c r="T212" s="33"/>
      <c r="U212" s="29"/>
      <c r="V212" s="33"/>
      <c r="W212" s="30"/>
    </row>
    <row r="213" spans="1:23" s="10" customFormat="1" ht="57" customHeight="1">
      <c r="A213" s="48" t="s">
        <v>597</v>
      </c>
      <c r="B213" s="49">
        <v>42156</v>
      </c>
      <c r="C213" s="48" t="s">
        <v>18</v>
      </c>
      <c r="D213" s="48" t="s">
        <v>243</v>
      </c>
      <c r="E213" s="48" t="s">
        <v>302</v>
      </c>
      <c r="F213" s="48" t="s">
        <v>598</v>
      </c>
      <c r="G213" s="48" t="s">
        <v>192</v>
      </c>
      <c r="H213" s="50" t="s">
        <v>172</v>
      </c>
      <c r="I213" s="51" t="str">
        <f t="shared" si="105"/>
        <v>ATENDIDO</v>
      </c>
      <c r="J213" s="61">
        <v>645</v>
      </c>
      <c r="K213" s="53">
        <v>42179</v>
      </c>
      <c r="L213" s="53">
        <v>42156</v>
      </c>
      <c r="M213" s="54">
        <v>1</v>
      </c>
      <c r="N213" s="55" t="s">
        <v>266</v>
      </c>
      <c r="O213" s="63" t="s">
        <v>540</v>
      </c>
      <c r="P213" s="54">
        <f t="shared" si="104"/>
        <v>1</v>
      </c>
      <c r="Q213" s="54">
        <v>1</v>
      </c>
      <c r="R213" s="60" t="s">
        <v>267</v>
      </c>
      <c r="S213" s="30"/>
      <c r="T213" s="33"/>
      <c r="U213" s="29"/>
      <c r="V213" s="33"/>
      <c r="W213" s="30"/>
    </row>
    <row r="214" spans="1:23" s="10" customFormat="1" ht="25.5">
      <c r="A214" s="48" t="s">
        <v>596</v>
      </c>
      <c r="B214" s="49">
        <v>42156</v>
      </c>
      <c r="C214" s="48" t="s">
        <v>12</v>
      </c>
      <c r="D214" s="48" t="s">
        <v>243</v>
      </c>
      <c r="E214" s="48" t="s">
        <v>79</v>
      </c>
      <c r="F214" s="48" t="s">
        <v>585</v>
      </c>
      <c r="G214" s="48" t="s">
        <v>192</v>
      </c>
      <c r="H214" s="50" t="s">
        <v>172</v>
      </c>
      <c r="I214" s="51" t="str">
        <f t="shared" si="105"/>
        <v>ATENDIDO</v>
      </c>
      <c r="J214" s="61">
        <v>627</v>
      </c>
      <c r="K214" s="53">
        <v>42165</v>
      </c>
      <c r="L214" s="53">
        <v>42165</v>
      </c>
      <c r="M214" s="54">
        <v>1</v>
      </c>
      <c r="N214" s="55" t="s">
        <v>266</v>
      </c>
      <c r="O214" s="64">
        <f>IF(K214=0,0,(NETWORKDAYS(B214,K214)))</f>
        <v>8</v>
      </c>
      <c r="P214" s="54">
        <f t="shared" si="104"/>
        <v>8</v>
      </c>
      <c r="Q214" s="54">
        <v>1</v>
      </c>
      <c r="R214" s="60" t="s">
        <v>267</v>
      </c>
      <c r="S214" s="30"/>
      <c r="T214" s="33"/>
      <c r="U214" s="29"/>
      <c r="V214" s="33"/>
      <c r="W214" s="30"/>
    </row>
    <row r="215" spans="1:23" s="10" customFormat="1" ht="25.5">
      <c r="A215" s="48" t="s">
        <v>595</v>
      </c>
      <c r="B215" s="49">
        <v>42153</v>
      </c>
      <c r="C215" s="48" t="s">
        <v>38</v>
      </c>
      <c r="D215" s="48" t="s">
        <v>243</v>
      </c>
      <c r="E215" s="48" t="s">
        <v>533</v>
      </c>
      <c r="F215" s="48" t="s">
        <v>534</v>
      </c>
      <c r="G215" s="48" t="s">
        <v>167</v>
      </c>
      <c r="H215" s="50" t="s">
        <v>170</v>
      </c>
      <c r="I215" s="51" t="str">
        <f t="shared" si="105"/>
        <v>ATENDIDO</v>
      </c>
      <c r="J215" s="61" t="s">
        <v>606</v>
      </c>
      <c r="K215" s="53">
        <v>42153</v>
      </c>
      <c r="L215" s="53">
        <v>42153</v>
      </c>
      <c r="M215" s="54">
        <v>1</v>
      </c>
      <c r="N215" s="55" t="s">
        <v>266</v>
      </c>
      <c r="O215" s="54">
        <f>IF(K215=0,0,(NETWORKDAYS(B215,K215)))</f>
        <v>1</v>
      </c>
      <c r="P215" s="54">
        <f t="shared" si="104"/>
        <v>1</v>
      </c>
      <c r="Q215" s="54">
        <v>1</v>
      </c>
      <c r="R215" s="60" t="s">
        <v>267</v>
      </c>
      <c r="S215" s="30"/>
      <c r="T215" s="33"/>
      <c r="U215" s="29"/>
      <c r="V215" s="33"/>
      <c r="W215" s="30"/>
    </row>
    <row r="216" spans="1:23" s="10" customFormat="1" ht="25.5">
      <c r="A216" s="48" t="s">
        <v>594</v>
      </c>
      <c r="B216" s="49">
        <v>42153</v>
      </c>
      <c r="C216" s="48" t="s">
        <v>61</v>
      </c>
      <c r="D216" s="48" t="s">
        <v>243</v>
      </c>
      <c r="E216" s="48" t="s">
        <v>533</v>
      </c>
      <c r="F216" s="48" t="s">
        <v>534</v>
      </c>
      <c r="G216" s="48" t="s">
        <v>167</v>
      </c>
      <c r="H216" s="50" t="s">
        <v>170</v>
      </c>
      <c r="I216" s="51" t="str">
        <f t="shared" si="105"/>
        <v>ATENDIDO</v>
      </c>
      <c r="J216" s="61">
        <v>625</v>
      </c>
      <c r="K216" s="53">
        <v>42165</v>
      </c>
      <c r="L216" s="53">
        <v>42165</v>
      </c>
      <c r="M216" s="54">
        <v>1</v>
      </c>
      <c r="N216" s="55" t="s">
        <v>266</v>
      </c>
      <c r="O216" s="54">
        <f>IF(K216=0,0,(NETWORKDAYS(B216,K216)))</f>
        <v>9</v>
      </c>
      <c r="P216" s="54">
        <f t="shared" si="104"/>
        <v>9</v>
      </c>
      <c r="Q216" s="54">
        <v>1</v>
      </c>
      <c r="R216" s="60" t="s">
        <v>267</v>
      </c>
      <c r="S216" s="30"/>
      <c r="T216" s="33"/>
      <c r="U216" s="29"/>
      <c r="V216" s="33"/>
      <c r="W216" s="30"/>
    </row>
    <row r="217" spans="1:23" s="10" customFormat="1" ht="25.5" customHeight="1">
      <c r="A217" s="48" t="s">
        <v>593</v>
      </c>
      <c r="B217" s="49">
        <v>42152</v>
      </c>
      <c r="C217" s="48" t="s">
        <v>23</v>
      </c>
      <c r="D217" s="48" t="s">
        <v>243</v>
      </c>
      <c r="E217" s="48" t="s">
        <v>89</v>
      </c>
      <c r="F217" s="48" t="s">
        <v>572</v>
      </c>
      <c r="G217" s="48" t="s">
        <v>144</v>
      </c>
      <c r="H217" s="50" t="s">
        <v>170</v>
      </c>
      <c r="I217" s="51" t="str">
        <f t="shared" ref="I217:I222" si="106">IF(J217=0,"PENDIENTE",IF(J217="C","CORREO ENVIADO",IF(J217="OF","OFICIO EN FIRMA",IF(J217="PF","PLANOS EN FIRMA",IF(J217="OM","OFICIO MAQUINADO","ATENDIDO")))))</f>
        <v>ATENDIDO</v>
      </c>
      <c r="J217" s="61">
        <v>603</v>
      </c>
      <c r="K217" s="53">
        <v>42157</v>
      </c>
      <c r="L217" s="53">
        <v>42153</v>
      </c>
      <c r="M217" s="54">
        <v>1</v>
      </c>
      <c r="N217" s="55" t="s">
        <v>266</v>
      </c>
      <c r="O217" s="54">
        <f>IF(K217=0,0,(NETWORKDAYS(B217,K217)))</f>
        <v>4</v>
      </c>
      <c r="P217" s="54">
        <f t="shared" ref="P217:P219" si="107">IF(L217=0,0,(NETWORKDAYS(B217,L217)))</f>
        <v>2</v>
      </c>
      <c r="Q217" s="54">
        <v>1</v>
      </c>
      <c r="R217" s="60" t="s">
        <v>267</v>
      </c>
      <c r="S217" s="30"/>
      <c r="T217" s="33"/>
      <c r="U217" s="29"/>
      <c r="V217" s="33"/>
      <c r="W217" s="30"/>
    </row>
    <row r="218" spans="1:23" s="10" customFormat="1" ht="25.5" customHeight="1">
      <c r="A218" s="48" t="s">
        <v>592</v>
      </c>
      <c r="B218" s="49">
        <v>42152</v>
      </c>
      <c r="C218" s="48" t="s">
        <v>21</v>
      </c>
      <c r="D218" s="48" t="s">
        <v>243</v>
      </c>
      <c r="E218" s="48" t="s">
        <v>89</v>
      </c>
      <c r="F218" s="48" t="s">
        <v>572</v>
      </c>
      <c r="G218" s="48" t="s">
        <v>142</v>
      </c>
      <c r="H218" s="50" t="s">
        <v>170</v>
      </c>
      <c r="I218" s="51" t="str">
        <f t="shared" si="106"/>
        <v>ATENDIDO</v>
      </c>
      <c r="J218" s="61">
        <v>600</v>
      </c>
      <c r="K218" s="53">
        <v>42153</v>
      </c>
      <c r="L218" s="53">
        <v>42153</v>
      </c>
      <c r="M218" s="54">
        <v>1</v>
      </c>
      <c r="N218" s="55" t="s">
        <v>266</v>
      </c>
      <c r="O218" s="63" t="s">
        <v>540</v>
      </c>
      <c r="P218" s="54">
        <f t="shared" si="107"/>
        <v>2</v>
      </c>
      <c r="Q218" s="54">
        <v>1</v>
      </c>
      <c r="R218" s="60" t="s">
        <v>267</v>
      </c>
      <c r="S218" s="30"/>
      <c r="T218" s="33"/>
      <c r="U218" s="29"/>
      <c r="V218" s="33"/>
      <c r="W218" s="30"/>
    </row>
    <row r="219" spans="1:23" s="10" customFormat="1" ht="25.5" customHeight="1">
      <c r="A219" s="48" t="s">
        <v>590</v>
      </c>
      <c r="B219" s="49">
        <v>42152</v>
      </c>
      <c r="C219" s="48" t="s">
        <v>34</v>
      </c>
      <c r="D219" s="48" t="s">
        <v>243</v>
      </c>
      <c r="E219" s="48" t="s">
        <v>82</v>
      </c>
      <c r="F219" s="48" t="s">
        <v>591</v>
      </c>
      <c r="G219" s="48" t="s">
        <v>192</v>
      </c>
      <c r="H219" s="50" t="s">
        <v>172</v>
      </c>
      <c r="I219" s="51" t="str">
        <f t="shared" si="106"/>
        <v>ATENDIDO</v>
      </c>
      <c r="J219" s="61">
        <v>599</v>
      </c>
      <c r="K219" s="53">
        <v>42157</v>
      </c>
      <c r="L219" s="53">
        <v>42157</v>
      </c>
      <c r="M219" s="54">
        <v>1</v>
      </c>
      <c r="N219" s="55" t="s">
        <v>266</v>
      </c>
      <c r="O219" s="63" t="s">
        <v>540</v>
      </c>
      <c r="P219" s="54">
        <f t="shared" si="107"/>
        <v>4</v>
      </c>
      <c r="Q219" s="54">
        <v>1</v>
      </c>
      <c r="R219" s="60" t="s">
        <v>267</v>
      </c>
      <c r="S219" s="30"/>
      <c r="T219" s="33"/>
      <c r="U219" s="29"/>
      <c r="V219" s="33"/>
      <c r="W219" s="30"/>
    </row>
    <row r="220" spans="1:23" s="10" customFormat="1" ht="25.5" customHeight="1">
      <c r="A220" s="48" t="s">
        <v>588</v>
      </c>
      <c r="B220" s="49">
        <v>42151</v>
      </c>
      <c r="C220" s="48" t="s">
        <v>32</v>
      </c>
      <c r="D220" s="48" t="s">
        <v>243</v>
      </c>
      <c r="E220" s="48" t="s">
        <v>301</v>
      </c>
      <c r="F220" s="48" t="s">
        <v>589</v>
      </c>
      <c r="G220" s="48" t="s">
        <v>192</v>
      </c>
      <c r="H220" s="50" t="s">
        <v>170</v>
      </c>
      <c r="I220" s="51" t="str">
        <f t="shared" si="106"/>
        <v>ATENDIDO</v>
      </c>
      <c r="J220" s="61">
        <v>604</v>
      </c>
      <c r="K220" s="53">
        <v>42157</v>
      </c>
      <c r="L220" s="53">
        <v>42153</v>
      </c>
      <c r="M220" s="54">
        <v>1</v>
      </c>
      <c r="N220" s="55" t="s">
        <v>266</v>
      </c>
      <c r="O220" s="64">
        <f>IF(K220=0,0,(NETWORKDAYS(B220,K220)))</f>
        <v>5</v>
      </c>
      <c r="P220" s="54">
        <f t="shared" ref="P220:P229" si="108">IF(L220=0,0,(NETWORKDAYS(B220,L220)))</f>
        <v>3</v>
      </c>
      <c r="Q220" s="54">
        <v>1</v>
      </c>
      <c r="R220" s="60" t="s">
        <v>267</v>
      </c>
      <c r="S220" s="30"/>
      <c r="T220" s="33"/>
      <c r="U220" s="29"/>
      <c r="V220" s="33"/>
      <c r="W220" s="30"/>
    </row>
    <row r="221" spans="1:23" s="10" customFormat="1" ht="25.5" customHeight="1">
      <c r="A221" s="48" t="s">
        <v>586</v>
      </c>
      <c r="B221" s="49">
        <v>42150</v>
      </c>
      <c r="C221" s="48" t="s">
        <v>12</v>
      </c>
      <c r="D221" s="48" t="s">
        <v>243</v>
      </c>
      <c r="E221" s="48" t="s">
        <v>76</v>
      </c>
      <c r="F221" s="48" t="s">
        <v>587</v>
      </c>
      <c r="G221" s="48" t="s">
        <v>192</v>
      </c>
      <c r="H221" s="50" t="s">
        <v>170</v>
      </c>
      <c r="I221" s="51" t="str">
        <f t="shared" si="106"/>
        <v>ATENDIDO</v>
      </c>
      <c r="J221" s="61">
        <v>592</v>
      </c>
      <c r="K221" s="53">
        <v>42151</v>
      </c>
      <c r="L221" s="53">
        <v>42151</v>
      </c>
      <c r="M221" s="54">
        <v>1</v>
      </c>
      <c r="N221" s="55" t="s">
        <v>266</v>
      </c>
      <c r="O221" s="63" t="s">
        <v>540</v>
      </c>
      <c r="P221" s="54">
        <f t="shared" si="108"/>
        <v>2</v>
      </c>
      <c r="Q221" s="54">
        <v>1</v>
      </c>
      <c r="R221" s="60" t="s">
        <v>267</v>
      </c>
      <c r="S221" s="30"/>
      <c r="T221" s="33"/>
      <c r="U221" s="29"/>
      <c r="V221" s="33"/>
      <c r="W221" s="30"/>
    </row>
    <row r="222" spans="1:23" s="10" customFormat="1" ht="25.5" customHeight="1">
      <c r="A222" s="48" t="s">
        <v>584</v>
      </c>
      <c r="B222" s="49">
        <v>42146</v>
      </c>
      <c r="C222" s="48" t="s">
        <v>12</v>
      </c>
      <c r="D222" s="48" t="s">
        <v>243</v>
      </c>
      <c r="E222" s="48" t="s">
        <v>79</v>
      </c>
      <c r="F222" s="48" t="s">
        <v>585</v>
      </c>
      <c r="G222" s="48" t="s">
        <v>192</v>
      </c>
      <c r="H222" s="50" t="s">
        <v>172</v>
      </c>
      <c r="I222" s="51" t="str">
        <f t="shared" si="106"/>
        <v>ATENDIDO</v>
      </c>
      <c r="J222" s="61">
        <v>605</v>
      </c>
      <c r="K222" s="53">
        <v>42157</v>
      </c>
      <c r="L222" s="53">
        <v>42157</v>
      </c>
      <c r="M222" s="54">
        <v>1</v>
      </c>
      <c r="N222" s="55" t="s">
        <v>266</v>
      </c>
      <c r="O222" s="64">
        <f>IF(K222=0,0,(NETWORKDAYS(B222,K222)))</f>
        <v>8</v>
      </c>
      <c r="P222" s="54">
        <f t="shared" si="108"/>
        <v>8</v>
      </c>
      <c r="Q222" s="54">
        <v>1</v>
      </c>
      <c r="R222" s="60" t="s">
        <v>267</v>
      </c>
      <c r="S222" s="30"/>
      <c r="T222" s="33"/>
      <c r="U222" s="29"/>
      <c r="V222" s="33"/>
      <c r="W222" s="30"/>
    </row>
    <row r="223" spans="1:23" s="10" customFormat="1" ht="25.5">
      <c r="A223" s="48" t="s">
        <v>583</v>
      </c>
      <c r="B223" s="49">
        <v>42146</v>
      </c>
      <c r="C223" s="48" t="s">
        <v>29</v>
      </c>
      <c r="D223" s="48" t="s">
        <v>243</v>
      </c>
      <c r="E223" s="48" t="s">
        <v>353</v>
      </c>
      <c r="F223" s="48" t="s">
        <v>559</v>
      </c>
      <c r="G223" s="48" t="s">
        <v>155</v>
      </c>
      <c r="H223" s="50" t="s">
        <v>549</v>
      </c>
      <c r="I223" s="51" t="str">
        <f t="shared" ref="I223:I228" si="109">IF(J223=0,"PENDIENTE",IF(J223="C","CORREO ENVIADO",IF(J223="OF","OFICIO EN FIRMA",IF(J223="PF","PLANOS EN FIRMA",IF(J223="OM","OFICIO MAQUINADO","ATENDIDO")))))</f>
        <v>ATENDIDO</v>
      </c>
      <c r="J223" s="61">
        <v>624</v>
      </c>
      <c r="K223" s="53">
        <v>42151</v>
      </c>
      <c r="L223" s="53">
        <v>42151</v>
      </c>
      <c r="M223" s="54">
        <v>1</v>
      </c>
      <c r="N223" s="55" t="s">
        <v>266</v>
      </c>
      <c r="O223" s="54">
        <f t="shared" ref="O223:O228" si="110">IF(K223=0,0,(NETWORKDAYS(B223,K223)))</f>
        <v>4</v>
      </c>
      <c r="P223" s="54">
        <f t="shared" si="108"/>
        <v>4</v>
      </c>
      <c r="Q223" s="54">
        <v>1</v>
      </c>
      <c r="R223" s="60" t="s">
        <v>267</v>
      </c>
      <c r="S223" s="30"/>
      <c r="T223" s="33"/>
      <c r="U223" s="29"/>
      <c r="V223" s="33"/>
      <c r="W223" s="30"/>
    </row>
    <row r="224" spans="1:23" s="10" customFormat="1" ht="25.5">
      <c r="A224" s="48" t="s">
        <v>582</v>
      </c>
      <c r="B224" s="49">
        <v>42137</v>
      </c>
      <c r="C224" s="48" t="s">
        <v>21</v>
      </c>
      <c r="D224" s="48" t="s">
        <v>243</v>
      </c>
      <c r="E224" s="48" t="s">
        <v>89</v>
      </c>
      <c r="F224" s="48" t="s">
        <v>572</v>
      </c>
      <c r="G224" s="48" t="s">
        <v>142</v>
      </c>
      <c r="H224" s="50" t="s">
        <v>170</v>
      </c>
      <c r="I224" s="51" t="str">
        <f t="shared" si="109"/>
        <v>ATENDIDO</v>
      </c>
      <c r="J224" s="61">
        <v>570</v>
      </c>
      <c r="K224" s="53">
        <v>42142</v>
      </c>
      <c r="L224" s="53">
        <v>42142</v>
      </c>
      <c r="M224" s="54">
        <v>1</v>
      </c>
      <c r="N224" s="55" t="s">
        <v>266</v>
      </c>
      <c r="O224" s="54">
        <f t="shared" si="110"/>
        <v>4</v>
      </c>
      <c r="P224" s="54">
        <f t="shared" si="108"/>
        <v>4</v>
      </c>
      <c r="Q224" s="54">
        <v>1</v>
      </c>
      <c r="R224" s="60" t="s">
        <v>267</v>
      </c>
      <c r="S224" s="30"/>
      <c r="T224" s="33"/>
      <c r="U224" s="29"/>
      <c r="V224" s="33"/>
      <c r="W224" s="30"/>
    </row>
    <row r="225" spans="1:23" s="10" customFormat="1" ht="25.5">
      <c r="A225" s="48" t="s">
        <v>581</v>
      </c>
      <c r="B225" s="49">
        <v>42137</v>
      </c>
      <c r="C225" s="48" t="s">
        <v>21</v>
      </c>
      <c r="D225" s="48" t="s">
        <v>243</v>
      </c>
      <c r="E225" s="48" t="s">
        <v>89</v>
      </c>
      <c r="F225" s="48" t="s">
        <v>572</v>
      </c>
      <c r="G225" s="48" t="s">
        <v>142</v>
      </c>
      <c r="H225" s="50" t="s">
        <v>170</v>
      </c>
      <c r="I225" s="51" t="str">
        <f t="shared" si="109"/>
        <v>ATENDIDO</v>
      </c>
      <c r="J225" s="61">
        <v>569</v>
      </c>
      <c r="K225" s="53">
        <v>42142</v>
      </c>
      <c r="L225" s="53">
        <v>42142</v>
      </c>
      <c r="M225" s="54">
        <v>1</v>
      </c>
      <c r="N225" s="55" t="s">
        <v>266</v>
      </c>
      <c r="O225" s="54">
        <f t="shared" si="110"/>
        <v>4</v>
      </c>
      <c r="P225" s="54">
        <f t="shared" si="108"/>
        <v>4</v>
      </c>
      <c r="Q225" s="54">
        <v>1</v>
      </c>
      <c r="R225" s="60" t="s">
        <v>267</v>
      </c>
      <c r="S225" s="30"/>
      <c r="T225" s="33"/>
      <c r="U225" s="29"/>
      <c r="V225" s="33"/>
      <c r="W225" s="30"/>
    </row>
    <row r="226" spans="1:23" s="10" customFormat="1" ht="25.5">
      <c r="A226" s="48" t="s">
        <v>579</v>
      </c>
      <c r="B226" s="49">
        <v>42137</v>
      </c>
      <c r="C226" s="48" t="s">
        <v>498</v>
      </c>
      <c r="D226" s="48" t="s">
        <v>243</v>
      </c>
      <c r="E226" s="48" t="s">
        <v>93</v>
      </c>
      <c r="F226" s="48" t="s">
        <v>580</v>
      </c>
      <c r="G226" s="48" t="s">
        <v>151</v>
      </c>
      <c r="H226" s="50" t="s">
        <v>170</v>
      </c>
      <c r="I226" s="51" t="str">
        <f t="shared" si="109"/>
        <v>ATENDIDO</v>
      </c>
      <c r="J226" s="61" t="s">
        <v>408</v>
      </c>
      <c r="K226" s="53">
        <v>42146</v>
      </c>
      <c r="L226" s="53">
        <v>42146</v>
      </c>
      <c r="M226" s="54">
        <v>1</v>
      </c>
      <c r="N226" s="55" t="s">
        <v>266</v>
      </c>
      <c r="O226" s="54">
        <f t="shared" si="110"/>
        <v>8</v>
      </c>
      <c r="P226" s="54">
        <f t="shared" si="108"/>
        <v>8</v>
      </c>
      <c r="Q226" s="54">
        <v>1</v>
      </c>
      <c r="R226" s="60" t="s">
        <v>267</v>
      </c>
      <c r="S226" s="30"/>
      <c r="T226" s="33"/>
      <c r="U226" s="29"/>
      <c r="V226" s="33"/>
      <c r="W226" s="30"/>
    </row>
    <row r="227" spans="1:23" s="10" customFormat="1" ht="25.5">
      <c r="A227" s="48" t="s">
        <v>577</v>
      </c>
      <c r="B227" s="49">
        <v>42135</v>
      </c>
      <c r="C227" s="48" t="s">
        <v>317</v>
      </c>
      <c r="D227" s="48" t="s">
        <v>243</v>
      </c>
      <c r="E227" s="48" t="s">
        <v>129</v>
      </c>
      <c r="F227" s="48" t="s">
        <v>471</v>
      </c>
      <c r="G227" s="48" t="s">
        <v>155</v>
      </c>
      <c r="H227" s="50" t="s">
        <v>170</v>
      </c>
      <c r="I227" s="51" t="str">
        <f t="shared" si="109"/>
        <v>ATENDIDO</v>
      </c>
      <c r="J227" s="61">
        <v>560</v>
      </c>
      <c r="K227" s="53">
        <v>42137</v>
      </c>
      <c r="L227" s="53">
        <v>42137</v>
      </c>
      <c r="M227" s="54">
        <v>1</v>
      </c>
      <c r="N227" s="55" t="s">
        <v>266</v>
      </c>
      <c r="O227" s="54">
        <f t="shared" si="110"/>
        <v>3</v>
      </c>
      <c r="P227" s="54">
        <f t="shared" si="108"/>
        <v>3</v>
      </c>
      <c r="Q227" s="54">
        <v>1</v>
      </c>
      <c r="R227" s="60" t="s">
        <v>267</v>
      </c>
      <c r="S227" s="30"/>
      <c r="T227" s="33"/>
      <c r="U227" s="29"/>
      <c r="V227" s="33"/>
      <c r="W227" s="30"/>
    </row>
    <row r="228" spans="1:23" s="10" customFormat="1" ht="25.5">
      <c r="A228" s="48" t="s">
        <v>575</v>
      </c>
      <c r="B228" s="49">
        <v>42132</v>
      </c>
      <c r="C228" s="48" t="s">
        <v>47</v>
      </c>
      <c r="D228" s="48" t="s">
        <v>243</v>
      </c>
      <c r="E228" s="48" t="s">
        <v>104</v>
      </c>
      <c r="F228" s="48" t="s">
        <v>576</v>
      </c>
      <c r="G228" s="48" t="s">
        <v>167</v>
      </c>
      <c r="H228" s="50" t="s">
        <v>172</v>
      </c>
      <c r="I228" s="51" t="str">
        <f t="shared" si="109"/>
        <v>ATENDIDO</v>
      </c>
      <c r="J228" s="61">
        <v>606</v>
      </c>
      <c r="K228" s="53">
        <v>42157</v>
      </c>
      <c r="L228" s="53">
        <v>42139</v>
      </c>
      <c r="M228" s="54">
        <v>1</v>
      </c>
      <c r="N228" s="55" t="s">
        <v>266</v>
      </c>
      <c r="O228" s="54">
        <f t="shared" si="110"/>
        <v>18</v>
      </c>
      <c r="P228" s="54">
        <f t="shared" si="108"/>
        <v>6</v>
      </c>
      <c r="Q228" s="54">
        <v>1</v>
      </c>
      <c r="R228" s="60" t="s">
        <v>267</v>
      </c>
      <c r="S228" s="30"/>
      <c r="T228" s="33"/>
      <c r="U228" s="29"/>
      <c r="V228" s="33"/>
      <c r="W228" s="30"/>
    </row>
    <row r="229" spans="1:23" s="10" customFormat="1" ht="25.5">
      <c r="A229" s="48" t="s">
        <v>573</v>
      </c>
      <c r="B229" s="49">
        <v>42131</v>
      </c>
      <c r="C229" s="48" t="s">
        <v>18</v>
      </c>
      <c r="D229" s="48" t="s">
        <v>243</v>
      </c>
      <c r="E229" s="48" t="s">
        <v>89</v>
      </c>
      <c r="F229" s="48" t="s">
        <v>572</v>
      </c>
      <c r="G229" s="48" t="s">
        <v>192</v>
      </c>
      <c r="H229" s="50" t="s">
        <v>170</v>
      </c>
      <c r="I229" s="51" t="str">
        <f t="shared" ref="I229:I243" si="111">IF(J229=0,"PENDIENTE",IF(J229="C","CORREO ENVIADO",IF(J229="OF","OFICIO EN FIRMA",IF(J229="PF","PLANOS EN FIRMA",IF(J229="OM","OFICIO MAQUINADO","ATENDIDO")))))</f>
        <v>ATENDIDO</v>
      </c>
      <c r="J229" s="61">
        <v>555</v>
      </c>
      <c r="K229" s="53">
        <v>42137</v>
      </c>
      <c r="L229" s="53">
        <v>42135</v>
      </c>
      <c r="M229" s="54">
        <v>1</v>
      </c>
      <c r="N229" s="55" t="s">
        <v>266</v>
      </c>
      <c r="O229" s="54">
        <f t="shared" ref="O229:O243" si="112">IF(K229=0,0,(NETWORKDAYS(B229,K229)))</f>
        <v>5</v>
      </c>
      <c r="P229" s="54">
        <f t="shared" si="108"/>
        <v>3</v>
      </c>
      <c r="Q229" s="54">
        <v>1</v>
      </c>
      <c r="R229" s="60" t="s">
        <v>267</v>
      </c>
      <c r="S229" s="30"/>
      <c r="T229" s="33"/>
      <c r="U229" s="29"/>
      <c r="V229" s="33"/>
      <c r="W229" s="30"/>
    </row>
    <row r="230" spans="1:23" s="10" customFormat="1" ht="25.5">
      <c r="A230" s="48" t="s">
        <v>571</v>
      </c>
      <c r="B230" s="49">
        <v>42131</v>
      </c>
      <c r="C230" s="48" t="s">
        <v>18</v>
      </c>
      <c r="D230" s="48" t="s">
        <v>243</v>
      </c>
      <c r="E230" s="48" t="s">
        <v>89</v>
      </c>
      <c r="F230" s="48" t="s">
        <v>572</v>
      </c>
      <c r="G230" s="48" t="s">
        <v>192</v>
      </c>
      <c r="H230" s="50" t="s">
        <v>170</v>
      </c>
      <c r="I230" s="51" t="str">
        <f t="shared" si="111"/>
        <v>ATENDIDO</v>
      </c>
      <c r="J230" s="61">
        <v>554</v>
      </c>
      <c r="K230" s="53">
        <v>42137</v>
      </c>
      <c r="L230" s="53">
        <v>42135</v>
      </c>
      <c r="M230" s="54">
        <v>1</v>
      </c>
      <c r="N230" s="55" t="s">
        <v>266</v>
      </c>
      <c r="O230" s="54">
        <f t="shared" si="112"/>
        <v>5</v>
      </c>
      <c r="P230" s="54">
        <f t="shared" ref="P230:P243" si="113">IF(L230=0,0,(NETWORKDAYS(B230,L230)))</f>
        <v>3</v>
      </c>
      <c r="Q230" s="54">
        <v>1</v>
      </c>
      <c r="R230" s="60" t="s">
        <v>267</v>
      </c>
      <c r="S230" s="30"/>
      <c r="T230" s="33"/>
      <c r="U230" s="29"/>
      <c r="V230" s="33"/>
      <c r="W230" s="30"/>
    </row>
    <row r="231" spans="1:23" s="10" customFormat="1" ht="25.5">
      <c r="A231" s="48" t="s">
        <v>570</v>
      </c>
      <c r="B231" s="49">
        <v>42131</v>
      </c>
      <c r="C231" s="48" t="s">
        <v>12</v>
      </c>
      <c r="D231" s="48" t="s">
        <v>243</v>
      </c>
      <c r="E231" s="48" t="s">
        <v>71</v>
      </c>
      <c r="F231" s="48" t="s">
        <v>399</v>
      </c>
      <c r="G231" s="48" t="s">
        <v>192</v>
      </c>
      <c r="H231" s="50" t="s">
        <v>549</v>
      </c>
      <c r="I231" s="51" t="str">
        <f t="shared" si="111"/>
        <v>ATENDIDO</v>
      </c>
      <c r="J231" s="61">
        <v>562</v>
      </c>
      <c r="K231" s="53">
        <v>42137</v>
      </c>
      <c r="L231" s="53">
        <v>42136</v>
      </c>
      <c r="M231" s="54">
        <v>1</v>
      </c>
      <c r="N231" s="55" t="s">
        <v>266</v>
      </c>
      <c r="O231" s="54">
        <f t="shared" si="112"/>
        <v>5</v>
      </c>
      <c r="P231" s="54">
        <f t="shared" si="113"/>
        <v>4</v>
      </c>
      <c r="Q231" s="54">
        <v>1</v>
      </c>
      <c r="R231" s="60" t="s">
        <v>267</v>
      </c>
      <c r="S231" s="30"/>
      <c r="T231" s="33"/>
      <c r="U231" s="29"/>
      <c r="V231" s="33"/>
      <c r="W231" s="30"/>
    </row>
    <row r="232" spans="1:23" s="10" customFormat="1" ht="25.5">
      <c r="A232" s="48" t="s">
        <v>569</v>
      </c>
      <c r="B232" s="49">
        <v>42131</v>
      </c>
      <c r="C232" s="48" t="s">
        <v>12</v>
      </c>
      <c r="D232" s="48" t="s">
        <v>243</v>
      </c>
      <c r="E232" s="48" t="s">
        <v>71</v>
      </c>
      <c r="F232" s="48" t="s">
        <v>399</v>
      </c>
      <c r="G232" s="48" t="s">
        <v>192</v>
      </c>
      <c r="H232" s="50" t="s">
        <v>549</v>
      </c>
      <c r="I232" s="51" t="str">
        <f t="shared" si="111"/>
        <v>ATENDIDO</v>
      </c>
      <c r="J232" s="61">
        <v>562</v>
      </c>
      <c r="K232" s="53">
        <v>42137</v>
      </c>
      <c r="L232" s="53">
        <v>42136</v>
      </c>
      <c r="M232" s="54">
        <v>1</v>
      </c>
      <c r="N232" s="55" t="s">
        <v>266</v>
      </c>
      <c r="O232" s="54">
        <f t="shared" si="112"/>
        <v>5</v>
      </c>
      <c r="P232" s="54">
        <f t="shared" si="113"/>
        <v>4</v>
      </c>
      <c r="Q232" s="54">
        <v>1</v>
      </c>
      <c r="R232" s="60" t="s">
        <v>267</v>
      </c>
      <c r="S232" s="30"/>
      <c r="T232" s="33"/>
      <c r="U232" s="29"/>
      <c r="V232" s="33"/>
      <c r="W232" s="30"/>
    </row>
    <row r="233" spans="1:23" s="10" customFormat="1" ht="25.5">
      <c r="A233" s="48" t="s">
        <v>568</v>
      </c>
      <c r="B233" s="49">
        <v>42131</v>
      </c>
      <c r="C233" s="48" t="s">
        <v>12</v>
      </c>
      <c r="D233" s="48" t="s">
        <v>243</v>
      </c>
      <c r="E233" s="48" t="s">
        <v>71</v>
      </c>
      <c r="F233" s="48" t="s">
        <v>399</v>
      </c>
      <c r="G233" s="48" t="s">
        <v>192</v>
      </c>
      <c r="H233" s="50" t="s">
        <v>549</v>
      </c>
      <c r="I233" s="51" t="str">
        <f t="shared" si="111"/>
        <v>ATENDIDO</v>
      </c>
      <c r="J233" s="61">
        <v>562</v>
      </c>
      <c r="K233" s="53">
        <v>42137</v>
      </c>
      <c r="L233" s="53">
        <v>42136</v>
      </c>
      <c r="M233" s="54">
        <v>1</v>
      </c>
      <c r="N233" s="55" t="s">
        <v>266</v>
      </c>
      <c r="O233" s="54">
        <f t="shared" si="112"/>
        <v>5</v>
      </c>
      <c r="P233" s="54">
        <f t="shared" si="113"/>
        <v>4</v>
      </c>
      <c r="Q233" s="54">
        <v>1</v>
      </c>
      <c r="R233" s="60" t="s">
        <v>267</v>
      </c>
      <c r="S233" s="30"/>
      <c r="T233" s="33"/>
      <c r="U233" s="29"/>
      <c r="V233" s="33"/>
      <c r="W233" s="30"/>
    </row>
    <row r="234" spans="1:23" s="10" customFormat="1" ht="25.5">
      <c r="A234" s="48" t="s">
        <v>567</v>
      </c>
      <c r="B234" s="49">
        <v>42131</v>
      </c>
      <c r="C234" s="48" t="s">
        <v>12</v>
      </c>
      <c r="D234" s="48" t="s">
        <v>243</v>
      </c>
      <c r="E234" s="48" t="s">
        <v>71</v>
      </c>
      <c r="F234" s="48" t="s">
        <v>399</v>
      </c>
      <c r="G234" s="48" t="s">
        <v>192</v>
      </c>
      <c r="H234" s="50" t="s">
        <v>549</v>
      </c>
      <c r="I234" s="51" t="str">
        <f t="shared" si="111"/>
        <v>ATENDIDO</v>
      </c>
      <c r="J234" s="61">
        <v>562</v>
      </c>
      <c r="K234" s="53">
        <v>42137</v>
      </c>
      <c r="L234" s="53">
        <v>42136</v>
      </c>
      <c r="M234" s="54">
        <v>1</v>
      </c>
      <c r="N234" s="55" t="s">
        <v>266</v>
      </c>
      <c r="O234" s="54">
        <f t="shared" si="112"/>
        <v>5</v>
      </c>
      <c r="P234" s="54">
        <f t="shared" si="113"/>
        <v>4</v>
      </c>
      <c r="Q234" s="54">
        <v>1</v>
      </c>
      <c r="R234" s="60" t="s">
        <v>267</v>
      </c>
      <c r="S234" s="30"/>
      <c r="T234" s="33"/>
      <c r="U234" s="29"/>
      <c r="V234" s="33"/>
      <c r="W234" s="30"/>
    </row>
    <row r="235" spans="1:23" s="10" customFormat="1" ht="25.5">
      <c r="A235" s="48" t="s">
        <v>566</v>
      </c>
      <c r="B235" s="49">
        <v>42131</v>
      </c>
      <c r="C235" s="48" t="s">
        <v>12</v>
      </c>
      <c r="D235" s="48" t="s">
        <v>243</v>
      </c>
      <c r="E235" s="48" t="s">
        <v>71</v>
      </c>
      <c r="F235" s="48" t="s">
        <v>399</v>
      </c>
      <c r="G235" s="48" t="s">
        <v>192</v>
      </c>
      <c r="H235" s="50" t="s">
        <v>549</v>
      </c>
      <c r="I235" s="51" t="str">
        <f t="shared" si="111"/>
        <v>ATENDIDO</v>
      </c>
      <c r="J235" s="61">
        <v>562</v>
      </c>
      <c r="K235" s="53">
        <v>42137</v>
      </c>
      <c r="L235" s="53">
        <v>42136</v>
      </c>
      <c r="M235" s="54">
        <v>1</v>
      </c>
      <c r="N235" s="55" t="s">
        <v>266</v>
      </c>
      <c r="O235" s="54">
        <f t="shared" si="112"/>
        <v>5</v>
      </c>
      <c r="P235" s="54">
        <f t="shared" si="113"/>
        <v>4</v>
      </c>
      <c r="Q235" s="54">
        <v>1</v>
      </c>
      <c r="R235" s="60" t="s">
        <v>267</v>
      </c>
      <c r="S235" s="30"/>
      <c r="T235" s="33"/>
      <c r="U235" s="29"/>
      <c r="V235" s="33"/>
      <c r="W235" s="30"/>
    </row>
    <row r="236" spans="1:23" s="10" customFormat="1" ht="25.5">
      <c r="A236" s="48" t="s">
        <v>565</v>
      </c>
      <c r="B236" s="49">
        <v>42131</v>
      </c>
      <c r="C236" s="48" t="s">
        <v>12</v>
      </c>
      <c r="D236" s="48" t="s">
        <v>243</v>
      </c>
      <c r="E236" s="48" t="s">
        <v>71</v>
      </c>
      <c r="F236" s="48" t="s">
        <v>399</v>
      </c>
      <c r="G236" s="48" t="s">
        <v>192</v>
      </c>
      <c r="H236" s="50" t="s">
        <v>549</v>
      </c>
      <c r="I236" s="51" t="str">
        <f t="shared" si="111"/>
        <v>ATENDIDO</v>
      </c>
      <c r="J236" s="61">
        <v>562</v>
      </c>
      <c r="K236" s="53">
        <v>42137</v>
      </c>
      <c r="L236" s="53">
        <v>42136</v>
      </c>
      <c r="M236" s="54">
        <v>1</v>
      </c>
      <c r="N236" s="55" t="s">
        <v>266</v>
      </c>
      <c r="O236" s="54">
        <f t="shared" si="112"/>
        <v>5</v>
      </c>
      <c r="P236" s="54">
        <f t="shared" si="113"/>
        <v>4</v>
      </c>
      <c r="Q236" s="54">
        <v>1</v>
      </c>
      <c r="R236" s="60" t="s">
        <v>267</v>
      </c>
      <c r="S236" s="30"/>
      <c r="T236" s="33"/>
      <c r="U236" s="29"/>
      <c r="V236" s="33"/>
      <c r="W236" s="30"/>
    </row>
    <row r="237" spans="1:23" s="10" customFormat="1" ht="25.5">
      <c r="A237" s="48" t="s">
        <v>564</v>
      </c>
      <c r="B237" s="49">
        <v>42131</v>
      </c>
      <c r="C237" s="48" t="s">
        <v>12</v>
      </c>
      <c r="D237" s="48" t="s">
        <v>243</v>
      </c>
      <c r="E237" s="48" t="s">
        <v>71</v>
      </c>
      <c r="F237" s="48" t="s">
        <v>399</v>
      </c>
      <c r="G237" s="48" t="s">
        <v>192</v>
      </c>
      <c r="H237" s="50" t="s">
        <v>549</v>
      </c>
      <c r="I237" s="51" t="str">
        <f t="shared" si="111"/>
        <v>ATENDIDO</v>
      </c>
      <c r="J237" s="61">
        <v>562</v>
      </c>
      <c r="K237" s="53">
        <v>42137</v>
      </c>
      <c r="L237" s="53">
        <v>42136</v>
      </c>
      <c r="M237" s="54">
        <v>1</v>
      </c>
      <c r="N237" s="55" t="s">
        <v>266</v>
      </c>
      <c r="O237" s="54">
        <f t="shared" si="112"/>
        <v>5</v>
      </c>
      <c r="P237" s="54">
        <f t="shared" si="113"/>
        <v>4</v>
      </c>
      <c r="Q237" s="54">
        <v>1</v>
      </c>
      <c r="R237" s="60" t="s">
        <v>267</v>
      </c>
      <c r="S237" s="30"/>
      <c r="T237" s="33"/>
      <c r="U237" s="29"/>
      <c r="V237" s="33"/>
      <c r="W237" s="30"/>
    </row>
    <row r="238" spans="1:23" s="10" customFormat="1" ht="25.5">
      <c r="A238" s="48" t="s">
        <v>563</v>
      </c>
      <c r="B238" s="49">
        <v>42131</v>
      </c>
      <c r="C238" s="48" t="s">
        <v>12</v>
      </c>
      <c r="D238" s="48" t="s">
        <v>243</v>
      </c>
      <c r="E238" s="48" t="s">
        <v>71</v>
      </c>
      <c r="F238" s="48" t="s">
        <v>399</v>
      </c>
      <c r="G238" s="48" t="s">
        <v>192</v>
      </c>
      <c r="H238" s="50" t="s">
        <v>549</v>
      </c>
      <c r="I238" s="51" t="str">
        <f t="shared" si="111"/>
        <v>ATENDIDO</v>
      </c>
      <c r="J238" s="61">
        <v>562</v>
      </c>
      <c r="K238" s="53">
        <v>42137</v>
      </c>
      <c r="L238" s="53">
        <v>42136</v>
      </c>
      <c r="M238" s="54">
        <v>1</v>
      </c>
      <c r="N238" s="55" t="s">
        <v>266</v>
      </c>
      <c r="O238" s="54">
        <f t="shared" si="112"/>
        <v>5</v>
      </c>
      <c r="P238" s="54">
        <f t="shared" si="113"/>
        <v>4</v>
      </c>
      <c r="Q238" s="54">
        <v>1</v>
      </c>
      <c r="R238" s="60" t="s">
        <v>267</v>
      </c>
      <c r="S238" s="30"/>
      <c r="T238" s="33"/>
      <c r="U238" s="29"/>
      <c r="V238" s="33"/>
      <c r="W238" s="30"/>
    </row>
    <row r="239" spans="1:23" s="10" customFormat="1" ht="25.5">
      <c r="A239" s="48" t="s">
        <v>562</v>
      </c>
      <c r="B239" s="49">
        <v>42130</v>
      </c>
      <c r="C239" s="48" t="s">
        <v>68</v>
      </c>
      <c r="D239" s="48" t="s">
        <v>243</v>
      </c>
      <c r="E239" s="48" t="s">
        <v>96</v>
      </c>
      <c r="F239" s="48" t="s">
        <v>388</v>
      </c>
      <c r="G239" s="48" t="s">
        <v>156</v>
      </c>
      <c r="H239" s="50" t="s">
        <v>170</v>
      </c>
      <c r="I239" s="51" t="str">
        <f t="shared" si="111"/>
        <v>ATENDIDO</v>
      </c>
      <c r="J239" s="61">
        <v>561</v>
      </c>
      <c r="K239" s="53">
        <v>42136</v>
      </c>
      <c r="L239" s="53">
        <v>42136</v>
      </c>
      <c r="M239" s="54">
        <v>1</v>
      </c>
      <c r="N239" s="55" t="s">
        <v>266</v>
      </c>
      <c r="O239" s="54">
        <f t="shared" si="112"/>
        <v>5</v>
      </c>
      <c r="P239" s="54">
        <f t="shared" si="113"/>
        <v>5</v>
      </c>
      <c r="Q239" s="54">
        <v>1</v>
      </c>
      <c r="R239" s="60" t="s">
        <v>267</v>
      </c>
      <c r="S239" s="30"/>
      <c r="T239" s="33"/>
      <c r="U239" s="29"/>
      <c r="V239" s="33"/>
      <c r="W239" s="30"/>
    </row>
    <row r="240" spans="1:23" s="10" customFormat="1" ht="25.5">
      <c r="A240" s="48" t="s">
        <v>560</v>
      </c>
      <c r="B240" s="49">
        <v>42130</v>
      </c>
      <c r="C240" s="48" t="s">
        <v>39</v>
      </c>
      <c r="D240" s="48" t="s">
        <v>243</v>
      </c>
      <c r="E240" s="48" t="s">
        <v>96</v>
      </c>
      <c r="F240" s="48" t="s">
        <v>561</v>
      </c>
      <c r="G240" s="48" t="s">
        <v>140</v>
      </c>
      <c r="H240" s="50" t="s">
        <v>170</v>
      </c>
      <c r="I240" s="51" t="str">
        <f t="shared" si="111"/>
        <v>ATENDIDO</v>
      </c>
      <c r="J240" s="61">
        <v>566</v>
      </c>
      <c r="K240" s="53">
        <v>42142</v>
      </c>
      <c r="L240" s="53">
        <v>42138</v>
      </c>
      <c r="M240" s="54">
        <v>1</v>
      </c>
      <c r="N240" s="55" t="s">
        <v>266</v>
      </c>
      <c r="O240" s="54">
        <f t="shared" si="112"/>
        <v>9</v>
      </c>
      <c r="P240" s="54">
        <f t="shared" si="113"/>
        <v>7</v>
      </c>
      <c r="Q240" s="54">
        <v>1</v>
      </c>
      <c r="R240" s="60" t="s">
        <v>267</v>
      </c>
      <c r="S240" s="30"/>
      <c r="T240" s="33"/>
      <c r="U240" s="29"/>
      <c r="V240" s="33"/>
      <c r="W240" s="30"/>
    </row>
    <row r="241" spans="1:23" s="10" customFormat="1" ht="25.5">
      <c r="A241" s="48" t="s">
        <v>558</v>
      </c>
      <c r="B241" s="49">
        <v>42130</v>
      </c>
      <c r="C241" s="48" t="s">
        <v>29</v>
      </c>
      <c r="D241" s="48" t="s">
        <v>243</v>
      </c>
      <c r="E241" s="48" t="s">
        <v>353</v>
      </c>
      <c r="F241" s="48" t="s">
        <v>559</v>
      </c>
      <c r="G241" s="48" t="s">
        <v>155</v>
      </c>
      <c r="H241" s="50" t="s">
        <v>549</v>
      </c>
      <c r="I241" s="51" t="str">
        <f t="shared" si="111"/>
        <v>ATENDIDO</v>
      </c>
      <c r="J241" s="61">
        <v>563</v>
      </c>
      <c r="K241" s="53">
        <v>42137</v>
      </c>
      <c r="L241" s="53">
        <v>42135</v>
      </c>
      <c r="M241" s="54">
        <v>1</v>
      </c>
      <c r="N241" s="55" t="s">
        <v>266</v>
      </c>
      <c r="O241" s="54">
        <f t="shared" si="112"/>
        <v>6</v>
      </c>
      <c r="P241" s="54">
        <f t="shared" si="113"/>
        <v>4</v>
      </c>
      <c r="Q241" s="54">
        <v>1</v>
      </c>
      <c r="R241" s="60" t="s">
        <v>267</v>
      </c>
      <c r="S241" s="30"/>
      <c r="T241" s="33"/>
      <c r="U241" s="29"/>
      <c r="V241" s="33"/>
      <c r="W241" s="30"/>
    </row>
    <row r="242" spans="1:23" s="10" customFormat="1" ht="25.5">
      <c r="A242" s="48" t="s">
        <v>557</v>
      </c>
      <c r="B242" s="49">
        <v>42129</v>
      </c>
      <c r="C242" s="48" t="s">
        <v>12</v>
      </c>
      <c r="D242" s="48" t="s">
        <v>243</v>
      </c>
      <c r="E242" s="48" t="s">
        <v>94</v>
      </c>
      <c r="F242" s="48" t="s">
        <v>555</v>
      </c>
      <c r="G242" s="48" t="s">
        <v>192</v>
      </c>
      <c r="H242" s="50" t="s">
        <v>172</v>
      </c>
      <c r="I242" s="51" t="str">
        <f t="shared" si="111"/>
        <v>ATENDIDO</v>
      </c>
      <c r="J242" s="61">
        <v>571</v>
      </c>
      <c r="K242" s="53">
        <v>42142</v>
      </c>
      <c r="L242" s="53">
        <v>42142</v>
      </c>
      <c r="M242" s="54">
        <v>1</v>
      </c>
      <c r="N242" s="55" t="s">
        <v>266</v>
      </c>
      <c r="O242" s="54">
        <f t="shared" si="112"/>
        <v>10</v>
      </c>
      <c r="P242" s="54">
        <f t="shared" si="113"/>
        <v>10</v>
      </c>
      <c r="Q242" s="54">
        <v>1</v>
      </c>
      <c r="R242" s="60" t="s">
        <v>267</v>
      </c>
      <c r="S242" s="30"/>
      <c r="T242" s="33"/>
      <c r="U242" s="29"/>
      <c r="V242" s="33"/>
      <c r="W242" s="30"/>
    </row>
    <row r="243" spans="1:23" s="10" customFormat="1" ht="25.5">
      <c r="A243" s="48" t="s">
        <v>554</v>
      </c>
      <c r="B243" s="49">
        <v>42123</v>
      </c>
      <c r="C243" s="48" t="s">
        <v>274</v>
      </c>
      <c r="D243" s="48" t="s">
        <v>243</v>
      </c>
      <c r="E243" s="48" t="s">
        <v>93</v>
      </c>
      <c r="F243" s="48" t="s">
        <v>555</v>
      </c>
      <c r="G243" s="48" t="s">
        <v>411</v>
      </c>
      <c r="H243" s="50" t="s">
        <v>170</v>
      </c>
      <c r="I243" s="51" t="str">
        <f t="shared" si="111"/>
        <v>ATENDIDO</v>
      </c>
      <c r="J243" s="61">
        <v>558</v>
      </c>
      <c r="K243" s="53">
        <v>42137</v>
      </c>
      <c r="L243" s="53">
        <v>42124</v>
      </c>
      <c r="M243" s="54">
        <v>1</v>
      </c>
      <c r="N243" s="55" t="s">
        <v>267</v>
      </c>
      <c r="O243" s="54">
        <f t="shared" si="112"/>
        <v>11</v>
      </c>
      <c r="P243" s="54">
        <f t="shared" si="113"/>
        <v>2</v>
      </c>
      <c r="Q243" s="54">
        <v>1</v>
      </c>
      <c r="R243" s="60" t="s">
        <v>267</v>
      </c>
      <c r="S243" s="30"/>
      <c r="T243" s="33"/>
      <c r="U243" s="29"/>
      <c r="V243" s="33"/>
      <c r="W243" s="30"/>
    </row>
    <row r="244" spans="1:23" s="10" customFormat="1" ht="55.5" customHeight="1">
      <c r="A244" s="48" t="s">
        <v>551</v>
      </c>
      <c r="B244" s="49">
        <v>42122</v>
      </c>
      <c r="C244" s="48" t="s">
        <v>12</v>
      </c>
      <c r="D244" s="48" t="s">
        <v>243</v>
      </c>
      <c r="E244" s="48" t="s">
        <v>302</v>
      </c>
      <c r="F244" s="48" t="s">
        <v>552</v>
      </c>
      <c r="G244" s="48" t="s">
        <v>365</v>
      </c>
      <c r="H244" s="50" t="s">
        <v>172</v>
      </c>
      <c r="I244" s="51" t="str">
        <f t="shared" ref="I244:I250" si="114">IF(J244=0,"PENDIENTE",IF(J244="C","CORREO ENVIADO",IF(J244="OF","OFICIO EN FIRMA",IF(J244="PF","PLANOS EN FIRMA",IF(J244="OM","OFICIO MAQUINADO","ATENDIDO")))))</f>
        <v>ATENDIDO</v>
      </c>
      <c r="J244" s="61">
        <v>545</v>
      </c>
      <c r="K244" s="53">
        <v>42131</v>
      </c>
      <c r="L244" s="53">
        <v>42131</v>
      </c>
      <c r="M244" s="54">
        <v>1</v>
      </c>
      <c r="N244" s="55" t="s">
        <v>266</v>
      </c>
      <c r="O244" s="63" t="s">
        <v>540</v>
      </c>
      <c r="P244" s="54">
        <f t="shared" ref="P244:P252" si="115">IF(L244=0,0,(NETWORKDAYS(B244,L244)))</f>
        <v>8</v>
      </c>
      <c r="Q244" s="54">
        <v>1</v>
      </c>
      <c r="R244" s="60" t="s">
        <v>267</v>
      </c>
      <c r="S244" s="30"/>
      <c r="T244" s="33"/>
      <c r="U244" s="29"/>
      <c r="V244" s="33"/>
      <c r="W244" s="30"/>
    </row>
    <row r="245" spans="1:23" s="10" customFormat="1" ht="25.5">
      <c r="A245" s="48" t="s">
        <v>550</v>
      </c>
      <c r="B245" s="49">
        <v>42121</v>
      </c>
      <c r="C245" s="48" t="s">
        <v>66</v>
      </c>
      <c r="D245" s="48" t="s">
        <v>243</v>
      </c>
      <c r="E245" s="48" t="s">
        <v>81</v>
      </c>
      <c r="F245" s="48" t="s">
        <v>423</v>
      </c>
      <c r="G245" s="48" t="s">
        <v>486</v>
      </c>
      <c r="H245" s="50" t="s">
        <v>549</v>
      </c>
      <c r="I245" s="51" t="str">
        <f t="shared" si="114"/>
        <v>ATENDIDO</v>
      </c>
      <c r="J245" s="61">
        <v>546</v>
      </c>
      <c r="K245" s="53">
        <v>42131</v>
      </c>
      <c r="L245" s="53">
        <v>42124</v>
      </c>
      <c r="M245" s="54">
        <v>1</v>
      </c>
      <c r="N245" s="55" t="s">
        <v>266</v>
      </c>
      <c r="O245" s="64">
        <f t="shared" ref="O245:O250" si="116">IF(K245=0,0,(NETWORKDAYS(B245,K245)))</f>
        <v>9</v>
      </c>
      <c r="P245" s="54">
        <f t="shared" si="115"/>
        <v>4</v>
      </c>
      <c r="Q245" s="54">
        <v>1</v>
      </c>
      <c r="R245" s="60" t="s">
        <v>267</v>
      </c>
      <c r="S245" s="30"/>
      <c r="T245" s="33"/>
      <c r="U245" s="29"/>
      <c r="V245" s="33"/>
      <c r="W245" s="30"/>
    </row>
    <row r="246" spans="1:23" s="10" customFormat="1" ht="25.5">
      <c r="A246" s="48" t="s">
        <v>548</v>
      </c>
      <c r="B246" s="49">
        <v>42121</v>
      </c>
      <c r="C246" s="48" t="s">
        <v>66</v>
      </c>
      <c r="D246" s="48" t="s">
        <v>243</v>
      </c>
      <c r="E246" s="48" t="s">
        <v>81</v>
      </c>
      <c r="F246" s="48" t="s">
        <v>423</v>
      </c>
      <c r="G246" s="48" t="s">
        <v>486</v>
      </c>
      <c r="H246" s="50" t="s">
        <v>549</v>
      </c>
      <c r="I246" s="51" t="str">
        <f t="shared" si="114"/>
        <v>ATENDIDO</v>
      </c>
      <c r="J246" s="61">
        <v>548</v>
      </c>
      <c r="K246" s="53">
        <v>42131</v>
      </c>
      <c r="L246" s="53">
        <v>42124</v>
      </c>
      <c r="M246" s="54">
        <v>1</v>
      </c>
      <c r="N246" s="55" t="s">
        <v>266</v>
      </c>
      <c r="O246" s="54">
        <f t="shared" si="116"/>
        <v>9</v>
      </c>
      <c r="P246" s="54">
        <f t="shared" si="115"/>
        <v>4</v>
      </c>
      <c r="Q246" s="54">
        <v>1</v>
      </c>
      <c r="R246" s="60" t="s">
        <v>267</v>
      </c>
      <c r="S246" s="30"/>
      <c r="T246" s="33"/>
      <c r="U246" s="29"/>
      <c r="V246" s="33"/>
      <c r="W246" s="30"/>
    </row>
    <row r="247" spans="1:23" s="10" customFormat="1" ht="25.5">
      <c r="A247" s="48" t="s">
        <v>547</v>
      </c>
      <c r="B247" s="49">
        <v>42121</v>
      </c>
      <c r="C247" s="48" t="s">
        <v>553</v>
      </c>
      <c r="D247" s="48" t="s">
        <v>243</v>
      </c>
      <c r="E247" s="48" t="s">
        <v>106</v>
      </c>
      <c r="F247" s="48" t="s">
        <v>495</v>
      </c>
      <c r="G247" s="48" t="s">
        <v>430</v>
      </c>
      <c r="H247" s="50" t="s">
        <v>170</v>
      </c>
      <c r="I247" s="51" t="str">
        <f t="shared" si="114"/>
        <v>ATENDIDO</v>
      </c>
      <c r="J247" s="61" t="s">
        <v>556</v>
      </c>
      <c r="K247" s="53">
        <v>42123</v>
      </c>
      <c r="L247" s="53">
        <v>42123</v>
      </c>
      <c r="M247" s="54">
        <v>1</v>
      </c>
      <c r="N247" s="55" t="s">
        <v>266</v>
      </c>
      <c r="O247" s="54">
        <f t="shared" si="116"/>
        <v>3</v>
      </c>
      <c r="P247" s="54">
        <f t="shared" si="115"/>
        <v>3</v>
      </c>
      <c r="Q247" s="54">
        <v>1</v>
      </c>
      <c r="R247" s="60" t="s">
        <v>267</v>
      </c>
      <c r="S247" s="30"/>
      <c r="T247" s="33"/>
      <c r="U247" s="29"/>
      <c r="V247" s="33"/>
      <c r="W247" s="30"/>
    </row>
    <row r="248" spans="1:23" s="10" customFormat="1" ht="23.25">
      <c r="A248" s="48" t="s">
        <v>545</v>
      </c>
      <c r="B248" s="49">
        <v>42118</v>
      </c>
      <c r="C248" s="48" t="s">
        <v>48</v>
      </c>
      <c r="D248" s="48" t="s">
        <v>243</v>
      </c>
      <c r="E248" s="48" t="s">
        <v>94</v>
      </c>
      <c r="F248" s="48" t="s">
        <v>546</v>
      </c>
      <c r="G248" s="48" t="s">
        <v>365</v>
      </c>
      <c r="H248" s="50" t="s">
        <v>172</v>
      </c>
      <c r="I248" s="51" t="str">
        <f t="shared" si="114"/>
        <v>ATENDIDO</v>
      </c>
      <c r="J248" s="61">
        <v>547</v>
      </c>
      <c r="K248" s="53">
        <v>42131</v>
      </c>
      <c r="L248" s="53">
        <v>42131</v>
      </c>
      <c r="M248" s="54">
        <v>1</v>
      </c>
      <c r="N248" s="55" t="s">
        <v>266</v>
      </c>
      <c r="O248" s="54">
        <f t="shared" si="116"/>
        <v>10</v>
      </c>
      <c r="P248" s="54">
        <f t="shared" si="115"/>
        <v>10</v>
      </c>
      <c r="Q248" s="54">
        <v>1</v>
      </c>
      <c r="R248" s="60" t="s">
        <v>267</v>
      </c>
      <c r="S248" s="30"/>
      <c r="T248" s="33"/>
      <c r="U248" s="29"/>
      <c r="V248" s="33"/>
      <c r="W248" s="30"/>
    </row>
    <row r="249" spans="1:23" s="10" customFormat="1" ht="25.5">
      <c r="A249" s="48" t="s">
        <v>544</v>
      </c>
      <c r="B249" s="49">
        <v>42121</v>
      </c>
      <c r="C249" s="48" t="s">
        <v>12</v>
      </c>
      <c r="D249" s="48" t="s">
        <v>243</v>
      </c>
      <c r="E249" s="48" t="s">
        <v>83</v>
      </c>
      <c r="F249" s="48" t="s">
        <v>543</v>
      </c>
      <c r="G249" s="48" t="s">
        <v>365</v>
      </c>
      <c r="H249" s="50" t="s">
        <v>170</v>
      </c>
      <c r="I249" s="51" t="str">
        <f t="shared" si="114"/>
        <v>ATENDIDO</v>
      </c>
      <c r="J249" s="61">
        <v>537</v>
      </c>
      <c r="K249" s="53">
        <v>42123</v>
      </c>
      <c r="L249" s="53">
        <v>42123</v>
      </c>
      <c r="M249" s="54">
        <v>1</v>
      </c>
      <c r="N249" s="55" t="s">
        <v>266</v>
      </c>
      <c r="O249" s="54">
        <f t="shared" si="116"/>
        <v>3</v>
      </c>
      <c r="P249" s="54">
        <f t="shared" si="115"/>
        <v>3</v>
      </c>
      <c r="Q249" s="54">
        <v>1</v>
      </c>
      <c r="R249" s="60" t="s">
        <v>267</v>
      </c>
      <c r="S249" s="30"/>
      <c r="T249" s="33"/>
      <c r="U249" s="29"/>
      <c r="V249" s="33"/>
      <c r="W249" s="30"/>
    </row>
    <row r="250" spans="1:23" s="10" customFormat="1" ht="25.5">
      <c r="A250" s="48" t="s">
        <v>542</v>
      </c>
      <c r="B250" s="49">
        <v>42117</v>
      </c>
      <c r="C250" s="48" t="s">
        <v>11</v>
      </c>
      <c r="D250" s="48" t="s">
        <v>243</v>
      </c>
      <c r="E250" s="48" t="s">
        <v>121</v>
      </c>
      <c r="F250" s="48" t="s">
        <v>543</v>
      </c>
      <c r="G250" s="48" t="s">
        <v>414</v>
      </c>
      <c r="H250" s="50" t="s">
        <v>170</v>
      </c>
      <c r="I250" s="51" t="str">
        <f t="shared" si="114"/>
        <v>ATENDIDO</v>
      </c>
      <c r="J250" s="61">
        <v>557</v>
      </c>
      <c r="K250" s="53">
        <v>42136</v>
      </c>
      <c r="L250" s="53">
        <v>42120</v>
      </c>
      <c r="M250" s="54">
        <v>1</v>
      </c>
      <c r="N250" s="55" t="s">
        <v>266</v>
      </c>
      <c r="O250" s="54">
        <f t="shared" si="116"/>
        <v>14</v>
      </c>
      <c r="P250" s="54">
        <f t="shared" si="115"/>
        <v>2</v>
      </c>
      <c r="Q250" s="54">
        <v>1</v>
      </c>
      <c r="R250" s="60" t="s">
        <v>267</v>
      </c>
      <c r="S250" s="30"/>
      <c r="T250" s="33"/>
      <c r="U250" s="29"/>
      <c r="V250" s="33"/>
      <c r="W250" s="30"/>
    </row>
    <row r="251" spans="1:23" s="10" customFormat="1" ht="57" customHeight="1">
      <c r="A251" s="48" t="s">
        <v>541</v>
      </c>
      <c r="B251" s="49">
        <v>42115</v>
      </c>
      <c r="C251" s="48" t="s">
        <v>18</v>
      </c>
      <c r="D251" s="48" t="s">
        <v>243</v>
      </c>
      <c r="E251" s="48" t="s">
        <v>83</v>
      </c>
      <c r="F251" s="48" t="s">
        <v>539</v>
      </c>
      <c r="G251" s="48" t="s">
        <v>365</v>
      </c>
      <c r="H251" s="50" t="s">
        <v>170</v>
      </c>
      <c r="I251" s="51" t="str">
        <f t="shared" ref="I251:I256" si="117">IF(J251=0,"PENDIENTE",IF(J251="C","CORREO ENVIADO",IF(J251="OF","OFICIO EN FIRMA",IF(J251="PF","PLANOS EN FIRMA",IF(J251="OM","OFICIO MAQUINADO","ATENDIDO")))))</f>
        <v>ATENDIDO</v>
      </c>
      <c r="J251" s="61" t="s">
        <v>574</v>
      </c>
      <c r="K251" s="53">
        <v>42130</v>
      </c>
      <c r="L251" s="53">
        <v>42116</v>
      </c>
      <c r="M251" s="54">
        <v>1</v>
      </c>
      <c r="N251" s="55" t="s">
        <v>266</v>
      </c>
      <c r="O251" s="63" t="s">
        <v>540</v>
      </c>
      <c r="P251" s="54">
        <f t="shared" si="115"/>
        <v>2</v>
      </c>
      <c r="Q251" s="54">
        <v>1</v>
      </c>
      <c r="R251" s="60" t="s">
        <v>267</v>
      </c>
      <c r="S251" s="30"/>
      <c r="T251" s="33"/>
      <c r="U251" s="29"/>
      <c r="V251" s="33"/>
      <c r="W251" s="30"/>
    </row>
    <row r="252" spans="1:23" s="10" customFormat="1" ht="48" customHeight="1">
      <c r="A252" s="48" t="s">
        <v>538</v>
      </c>
      <c r="B252" s="49">
        <v>42115</v>
      </c>
      <c r="C252" s="48" t="s">
        <v>12</v>
      </c>
      <c r="D252" s="48" t="s">
        <v>243</v>
      </c>
      <c r="E252" s="48" t="s">
        <v>83</v>
      </c>
      <c r="F252" s="48" t="s">
        <v>539</v>
      </c>
      <c r="G252" s="48" t="s">
        <v>365</v>
      </c>
      <c r="H252" s="50" t="s">
        <v>170</v>
      </c>
      <c r="I252" s="51" t="str">
        <f t="shared" si="117"/>
        <v>ATENDIDO</v>
      </c>
      <c r="J252" s="61" t="s">
        <v>578</v>
      </c>
      <c r="K252" s="53">
        <v>42121</v>
      </c>
      <c r="L252" s="53">
        <v>42116</v>
      </c>
      <c r="M252" s="54">
        <v>1</v>
      </c>
      <c r="N252" s="55" t="s">
        <v>266</v>
      </c>
      <c r="O252" s="63" t="s">
        <v>540</v>
      </c>
      <c r="P252" s="54">
        <f t="shared" si="115"/>
        <v>2</v>
      </c>
      <c r="Q252" s="54">
        <v>1</v>
      </c>
      <c r="R252" s="60" t="s">
        <v>267</v>
      </c>
      <c r="S252" s="30"/>
      <c r="T252" s="33"/>
      <c r="U252" s="29"/>
      <c r="V252" s="33"/>
      <c r="W252" s="30"/>
    </row>
    <row r="253" spans="1:23" s="10" customFormat="1" ht="25.5">
      <c r="A253" s="48" t="s">
        <v>535</v>
      </c>
      <c r="B253" s="49">
        <v>42114</v>
      </c>
      <c r="C253" s="48" t="s">
        <v>273</v>
      </c>
      <c r="D253" s="48" t="s">
        <v>243</v>
      </c>
      <c r="E253" s="48" t="s">
        <v>536</v>
      </c>
      <c r="F253" s="48" t="s">
        <v>537</v>
      </c>
      <c r="G253" s="48" t="s">
        <v>530</v>
      </c>
      <c r="H253" s="50" t="s">
        <v>170</v>
      </c>
      <c r="I253" s="51" t="str">
        <f t="shared" si="117"/>
        <v>ATENDIDO</v>
      </c>
      <c r="J253" s="61">
        <v>222</v>
      </c>
      <c r="K253" s="53">
        <v>42115</v>
      </c>
      <c r="L253" s="53">
        <v>42115</v>
      </c>
      <c r="M253" s="54">
        <v>1</v>
      </c>
      <c r="N253" s="55" t="s">
        <v>266</v>
      </c>
      <c r="O253" s="64">
        <f>IF(K253=0,0,(NETWORKDAYS(B253,K253)))</f>
        <v>2</v>
      </c>
      <c r="P253" s="54">
        <f t="shared" ref="P253:P255" si="118">IF(L253=0,0,(NETWORKDAYS(B253,L253)))</f>
        <v>2</v>
      </c>
      <c r="Q253" s="54">
        <v>1</v>
      </c>
      <c r="R253" s="60" t="s">
        <v>267</v>
      </c>
      <c r="S253" s="30"/>
      <c r="T253" s="33"/>
      <c r="U253" s="29"/>
      <c r="V253" s="33"/>
      <c r="W253" s="30"/>
    </row>
    <row r="254" spans="1:23" s="10" customFormat="1" ht="25.5">
      <c r="A254" s="48" t="s">
        <v>532</v>
      </c>
      <c r="B254" s="49">
        <v>42111</v>
      </c>
      <c r="C254" s="48" t="s">
        <v>166</v>
      </c>
      <c r="D254" s="48" t="s">
        <v>243</v>
      </c>
      <c r="E254" s="48" t="s">
        <v>533</v>
      </c>
      <c r="F254" s="48" t="s">
        <v>534</v>
      </c>
      <c r="G254" s="48" t="s">
        <v>167</v>
      </c>
      <c r="H254" s="50" t="s">
        <v>170</v>
      </c>
      <c r="I254" s="51" t="str">
        <f t="shared" si="117"/>
        <v>ATENDIDO</v>
      </c>
      <c r="J254" s="61">
        <v>533</v>
      </c>
      <c r="K254" s="53">
        <v>42118</v>
      </c>
      <c r="L254" s="53">
        <v>42118</v>
      </c>
      <c r="M254" s="54">
        <v>1</v>
      </c>
      <c r="N254" s="55" t="s">
        <v>266</v>
      </c>
      <c r="O254" s="54">
        <f>IF(K254=0,0,(NETWORKDAYS(B254,K254)))</f>
        <v>6</v>
      </c>
      <c r="P254" s="54">
        <f t="shared" si="118"/>
        <v>6</v>
      </c>
      <c r="Q254" s="54">
        <v>1</v>
      </c>
      <c r="R254" s="60" t="s">
        <v>267</v>
      </c>
      <c r="S254" s="30"/>
      <c r="T254" s="33"/>
      <c r="U254" s="29"/>
      <c r="V254" s="33"/>
      <c r="W254" s="30"/>
    </row>
    <row r="255" spans="1:23" s="10" customFormat="1" ht="25.5">
      <c r="A255" s="48" t="s">
        <v>528</v>
      </c>
      <c r="B255" s="49">
        <v>42109</v>
      </c>
      <c r="C255" s="48" t="s">
        <v>52</v>
      </c>
      <c r="D255" s="48" t="s">
        <v>243</v>
      </c>
      <c r="E255" s="48" t="s">
        <v>531</v>
      </c>
      <c r="F255" s="48" t="s">
        <v>529</v>
      </c>
      <c r="G255" s="48" t="s">
        <v>530</v>
      </c>
      <c r="H255" s="50" t="s">
        <v>172</v>
      </c>
      <c r="I255" s="51" t="str">
        <f t="shared" si="117"/>
        <v>ATENDIDO</v>
      </c>
      <c r="J255" s="61" t="s">
        <v>408</v>
      </c>
      <c r="K255" s="53">
        <v>42135</v>
      </c>
      <c r="L255" s="53">
        <v>42115</v>
      </c>
      <c r="M255" s="54">
        <v>1</v>
      </c>
      <c r="N255" s="55" t="s">
        <v>266</v>
      </c>
      <c r="O255" s="54">
        <f>IF(K255=0,0,(NETWORKDAYS(B255,K255)))</f>
        <v>19</v>
      </c>
      <c r="P255" s="54">
        <f t="shared" si="118"/>
        <v>5</v>
      </c>
      <c r="Q255" s="54">
        <v>1</v>
      </c>
      <c r="R255" s="60" t="s">
        <v>267</v>
      </c>
      <c r="S255" s="30"/>
      <c r="T255" s="33"/>
      <c r="U255" s="29"/>
      <c r="V255" s="33"/>
      <c r="W255" s="30"/>
    </row>
    <row r="256" spans="1:23" s="10" customFormat="1" ht="25.5">
      <c r="A256" s="48" t="s">
        <v>525</v>
      </c>
      <c r="B256" s="49">
        <v>42107</v>
      </c>
      <c r="C256" s="48" t="s">
        <v>22</v>
      </c>
      <c r="D256" s="48" t="s">
        <v>243</v>
      </c>
      <c r="E256" s="48" t="s">
        <v>86</v>
      </c>
      <c r="F256" s="48" t="s">
        <v>526</v>
      </c>
      <c r="G256" s="48" t="s">
        <v>370</v>
      </c>
      <c r="H256" s="50" t="s">
        <v>172</v>
      </c>
      <c r="I256" s="51" t="str">
        <f t="shared" si="117"/>
        <v>ATENDIDO</v>
      </c>
      <c r="J256" s="61">
        <v>538</v>
      </c>
      <c r="K256" s="53">
        <v>42121</v>
      </c>
      <c r="L256" s="53">
        <v>42121</v>
      </c>
      <c r="M256" s="54">
        <v>1</v>
      </c>
      <c r="N256" s="55" t="s">
        <v>266</v>
      </c>
      <c r="O256" s="54">
        <f>IF(K256=0,0,(NETWORKDAYS(B256,K256)))</f>
        <v>11</v>
      </c>
      <c r="P256" s="54">
        <f t="shared" ref="P256:P269" si="119">IF(L256=0,0,(NETWORKDAYS(B256,L256)))</f>
        <v>11</v>
      </c>
      <c r="Q256" s="54">
        <v>1</v>
      </c>
      <c r="R256" s="60" t="s">
        <v>267</v>
      </c>
      <c r="S256" s="30"/>
      <c r="T256" s="33"/>
      <c r="U256" s="29"/>
      <c r="V256" s="33"/>
      <c r="W256" s="30"/>
    </row>
    <row r="257" spans="1:23" s="10" customFormat="1" ht="25.5">
      <c r="A257" s="48" t="s">
        <v>527</v>
      </c>
      <c r="B257" s="49">
        <v>42103</v>
      </c>
      <c r="C257" s="48" t="s">
        <v>12</v>
      </c>
      <c r="D257" s="48" t="s">
        <v>243</v>
      </c>
      <c r="E257" s="48" t="s">
        <v>71</v>
      </c>
      <c r="F257" s="48" t="s">
        <v>399</v>
      </c>
      <c r="G257" s="48" t="s">
        <v>365</v>
      </c>
      <c r="H257" s="50" t="s">
        <v>341</v>
      </c>
      <c r="I257" s="51" t="str">
        <f t="shared" ref="I257" si="120">IF(J257=0,"PENDIENTE",IF(J257="C","CORREO ENVIADO",IF(J257="OF","OFICIO EN FIRMA",IF(J257="PF","PLANOS EN FIRMA",IF(J257="OM","OFICIO MAQUINADO","ATENDIDO")))))</f>
        <v>ATENDIDO</v>
      </c>
      <c r="J257" s="61">
        <v>540</v>
      </c>
      <c r="K257" s="53">
        <v>42121</v>
      </c>
      <c r="L257" s="53">
        <v>42114</v>
      </c>
      <c r="M257" s="54">
        <v>1</v>
      </c>
      <c r="N257" s="55" t="s">
        <v>266</v>
      </c>
      <c r="O257" s="54">
        <f>IF(K257=0,0,(NETWORKDAYS(B257,K257)))</f>
        <v>13</v>
      </c>
      <c r="P257" s="54">
        <f t="shared" si="119"/>
        <v>8</v>
      </c>
      <c r="Q257" s="54">
        <v>1</v>
      </c>
      <c r="R257" s="60" t="s">
        <v>267</v>
      </c>
      <c r="S257" s="30"/>
      <c r="T257" s="33"/>
      <c r="U257" s="29"/>
      <c r="V257" s="33"/>
      <c r="W257" s="30"/>
    </row>
    <row r="258" spans="1:23" s="10" customFormat="1" ht="25.5">
      <c r="A258" s="48" t="s">
        <v>524</v>
      </c>
      <c r="B258" s="49">
        <v>42103</v>
      </c>
      <c r="C258" s="48" t="s">
        <v>12</v>
      </c>
      <c r="D258" s="48" t="s">
        <v>243</v>
      </c>
      <c r="E258" s="48" t="s">
        <v>71</v>
      </c>
      <c r="F258" s="48" t="s">
        <v>399</v>
      </c>
      <c r="G258" s="48" t="s">
        <v>365</v>
      </c>
      <c r="H258" s="50" t="s">
        <v>341</v>
      </c>
      <c r="I258" s="51" t="str">
        <f t="shared" ref="I258:I270" si="121">IF(J258=0,"PENDIENTE",IF(J258="C","CORREO ENVIADO",IF(J258="OF","OFICIO EN FIRMA",IF(J258="PF","PLANOS EN FIRMA",IF(J258="OM","OFICIO MAQUINADO","ATENDIDO")))))</f>
        <v>ATENDIDO</v>
      </c>
      <c r="J258" s="61">
        <v>540</v>
      </c>
      <c r="K258" s="53">
        <v>42121</v>
      </c>
      <c r="L258" s="53">
        <v>42114</v>
      </c>
      <c r="M258" s="54">
        <v>1</v>
      </c>
      <c r="N258" s="55" t="s">
        <v>266</v>
      </c>
      <c r="O258" s="54">
        <f t="shared" ref="O258:O269" si="122">IF(K258=0,0,(NETWORKDAYS(B258,K258)))</f>
        <v>13</v>
      </c>
      <c r="P258" s="54">
        <f t="shared" si="119"/>
        <v>8</v>
      </c>
      <c r="Q258" s="54">
        <v>1</v>
      </c>
      <c r="R258" s="60" t="s">
        <v>267</v>
      </c>
      <c r="S258" s="30"/>
      <c r="T258" s="33"/>
      <c r="U258" s="29"/>
      <c r="V258" s="33"/>
      <c r="W258" s="30"/>
    </row>
    <row r="259" spans="1:23" s="10" customFormat="1" ht="25.5">
      <c r="A259" s="48" t="s">
        <v>523</v>
      </c>
      <c r="B259" s="49">
        <v>42103</v>
      </c>
      <c r="C259" s="48" t="s">
        <v>12</v>
      </c>
      <c r="D259" s="48" t="s">
        <v>243</v>
      </c>
      <c r="E259" s="48" t="s">
        <v>71</v>
      </c>
      <c r="F259" s="48" t="s">
        <v>399</v>
      </c>
      <c r="G259" s="48" t="s">
        <v>365</v>
      </c>
      <c r="H259" s="50" t="s">
        <v>341</v>
      </c>
      <c r="I259" s="51" t="str">
        <f t="shared" si="121"/>
        <v>ATENDIDO</v>
      </c>
      <c r="J259" s="61">
        <v>534</v>
      </c>
      <c r="K259" s="53">
        <v>42121</v>
      </c>
      <c r="L259" s="53">
        <v>42114</v>
      </c>
      <c r="M259" s="54">
        <v>1</v>
      </c>
      <c r="N259" s="55" t="s">
        <v>266</v>
      </c>
      <c r="O259" s="54">
        <f t="shared" si="122"/>
        <v>13</v>
      </c>
      <c r="P259" s="54">
        <f t="shared" si="119"/>
        <v>8</v>
      </c>
      <c r="Q259" s="54">
        <v>1</v>
      </c>
      <c r="R259" s="60" t="s">
        <v>267</v>
      </c>
      <c r="S259" s="30"/>
      <c r="T259" s="33"/>
      <c r="U259" s="29"/>
      <c r="V259" s="33"/>
      <c r="W259" s="30"/>
    </row>
    <row r="260" spans="1:23" s="10" customFormat="1" ht="25.5">
      <c r="A260" s="48" t="s">
        <v>522</v>
      </c>
      <c r="B260" s="49">
        <v>42103</v>
      </c>
      <c r="C260" s="48" t="s">
        <v>12</v>
      </c>
      <c r="D260" s="48" t="s">
        <v>243</v>
      </c>
      <c r="E260" s="48" t="s">
        <v>71</v>
      </c>
      <c r="F260" s="48" t="s">
        <v>399</v>
      </c>
      <c r="G260" s="48" t="s">
        <v>365</v>
      </c>
      <c r="H260" s="50" t="s">
        <v>341</v>
      </c>
      <c r="I260" s="51" t="str">
        <f t="shared" si="121"/>
        <v>ATENDIDO</v>
      </c>
      <c r="J260" s="61">
        <v>534</v>
      </c>
      <c r="K260" s="53">
        <v>42121</v>
      </c>
      <c r="L260" s="53">
        <v>42114</v>
      </c>
      <c r="M260" s="54">
        <v>1</v>
      </c>
      <c r="N260" s="55" t="s">
        <v>266</v>
      </c>
      <c r="O260" s="54">
        <f t="shared" si="122"/>
        <v>13</v>
      </c>
      <c r="P260" s="54">
        <f t="shared" si="119"/>
        <v>8</v>
      </c>
      <c r="Q260" s="54">
        <v>1</v>
      </c>
      <c r="R260" s="60" t="s">
        <v>267</v>
      </c>
      <c r="S260" s="30"/>
      <c r="T260" s="33"/>
      <c r="U260" s="29"/>
      <c r="V260" s="33"/>
      <c r="W260" s="30"/>
    </row>
    <row r="261" spans="1:23" s="10" customFormat="1" ht="25.5">
      <c r="A261" s="48" t="s">
        <v>521</v>
      </c>
      <c r="B261" s="49">
        <v>42103</v>
      </c>
      <c r="C261" s="48" t="s">
        <v>12</v>
      </c>
      <c r="D261" s="48" t="s">
        <v>243</v>
      </c>
      <c r="E261" s="48" t="s">
        <v>71</v>
      </c>
      <c r="F261" s="48" t="s">
        <v>399</v>
      </c>
      <c r="G261" s="48" t="s">
        <v>365</v>
      </c>
      <c r="H261" s="50" t="s">
        <v>341</v>
      </c>
      <c r="I261" s="51" t="str">
        <f t="shared" si="121"/>
        <v>ATENDIDO</v>
      </c>
      <c r="J261" s="61">
        <v>534</v>
      </c>
      <c r="K261" s="53">
        <v>42121</v>
      </c>
      <c r="L261" s="53">
        <v>42114</v>
      </c>
      <c r="M261" s="54">
        <v>1</v>
      </c>
      <c r="N261" s="55" t="s">
        <v>266</v>
      </c>
      <c r="O261" s="54">
        <f t="shared" si="122"/>
        <v>13</v>
      </c>
      <c r="P261" s="54">
        <f t="shared" si="119"/>
        <v>8</v>
      </c>
      <c r="Q261" s="54">
        <v>1</v>
      </c>
      <c r="R261" s="60" t="s">
        <v>267</v>
      </c>
      <c r="S261" s="30"/>
      <c r="T261" s="33"/>
      <c r="U261" s="29"/>
      <c r="V261" s="33"/>
      <c r="W261" s="30"/>
    </row>
    <row r="262" spans="1:23" s="10" customFormat="1" ht="25.5">
      <c r="A262" s="48" t="s">
        <v>520</v>
      </c>
      <c r="B262" s="49">
        <v>42103</v>
      </c>
      <c r="C262" s="48" t="s">
        <v>12</v>
      </c>
      <c r="D262" s="48" t="s">
        <v>243</v>
      </c>
      <c r="E262" s="48" t="s">
        <v>71</v>
      </c>
      <c r="F262" s="48" t="s">
        <v>399</v>
      </c>
      <c r="G262" s="48" t="s">
        <v>365</v>
      </c>
      <c r="H262" s="50" t="s">
        <v>341</v>
      </c>
      <c r="I262" s="51" t="str">
        <f t="shared" si="121"/>
        <v>ATENDIDO</v>
      </c>
      <c r="J262" s="61">
        <v>534</v>
      </c>
      <c r="K262" s="53">
        <v>42121</v>
      </c>
      <c r="L262" s="53">
        <v>42114</v>
      </c>
      <c r="M262" s="54">
        <v>1</v>
      </c>
      <c r="N262" s="55" t="s">
        <v>266</v>
      </c>
      <c r="O262" s="54">
        <f t="shared" si="122"/>
        <v>13</v>
      </c>
      <c r="P262" s="54">
        <f t="shared" si="119"/>
        <v>8</v>
      </c>
      <c r="Q262" s="54">
        <v>1</v>
      </c>
      <c r="R262" s="60" t="s">
        <v>267</v>
      </c>
      <c r="S262" s="30"/>
      <c r="T262" s="33"/>
      <c r="U262" s="29"/>
      <c r="V262" s="33"/>
      <c r="W262" s="30"/>
    </row>
    <row r="263" spans="1:23" s="10" customFormat="1" ht="25.5">
      <c r="A263" s="48" t="s">
        <v>519</v>
      </c>
      <c r="B263" s="49">
        <v>42103</v>
      </c>
      <c r="C263" s="48" t="s">
        <v>12</v>
      </c>
      <c r="D263" s="48" t="s">
        <v>243</v>
      </c>
      <c r="E263" s="48" t="s">
        <v>71</v>
      </c>
      <c r="F263" s="48" t="s">
        <v>399</v>
      </c>
      <c r="G263" s="48" t="s">
        <v>365</v>
      </c>
      <c r="H263" s="50" t="s">
        <v>341</v>
      </c>
      <c r="I263" s="51" t="str">
        <f t="shared" si="121"/>
        <v>ATENDIDO</v>
      </c>
      <c r="J263" s="61">
        <v>534</v>
      </c>
      <c r="K263" s="53">
        <v>42121</v>
      </c>
      <c r="L263" s="53">
        <v>42114</v>
      </c>
      <c r="M263" s="54">
        <v>1</v>
      </c>
      <c r="N263" s="55" t="s">
        <v>266</v>
      </c>
      <c r="O263" s="54">
        <f t="shared" si="122"/>
        <v>13</v>
      </c>
      <c r="P263" s="54">
        <f t="shared" si="119"/>
        <v>8</v>
      </c>
      <c r="Q263" s="54">
        <v>1</v>
      </c>
      <c r="R263" s="60" t="s">
        <v>267</v>
      </c>
      <c r="S263" s="30"/>
      <c r="T263" s="33"/>
      <c r="U263" s="29"/>
      <c r="V263" s="33"/>
      <c r="W263" s="30"/>
    </row>
    <row r="264" spans="1:23" s="10" customFormat="1" ht="25.5">
      <c r="A264" s="48" t="s">
        <v>518</v>
      </c>
      <c r="B264" s="49">
        <v>42103</v>
      </c>
      <c r="C264" s="48" t="s">
        <v>12</v>
      </c>
      <c r="D264" s="48" t="s">
        <v>243</v>
      </c>
      <c r="E264" s="48" t="s">
        <v>71</v>
      </c>
      <c r="F264" s="48" t="s">
        <v>399</v>
      </c>
      <c r="G264" s="48" t="s">
        <v>365</v>
      </c>
      <c r="H264" s="50" t="s">
        <v>341</v>
      </c>
      <c r="I264" s="51" t="str">
        <f t="shared" si="121"/>
        <v>ATENDIDO</v>
      </c>
      <c r="J264" s="61">
        <v>534</v>
      </c>
      <c r="K264" s="53">
        <v>42121</v>
      </c>
      <c r="L264" s="53">
        <v>42114</v>
      </c>
      <c r="M264" s="54">
        <v>1</v>
      </c>
      <c r="N264" s="55" t="s">
        <v>266</v>
      </c>
      <c r="O264" s="54">
        <f t="shared" si="122"/>
        <v>13</v>
      </c>
      <c r="P264" s="54">
        <f t="shared" si="119"/>
        <v>8</v>
      </c>
      <c r="Q264" s="54">
        <v>1</v>
      </c>
      <c r="R264" s="60" t="s">
        <v>267</v>
      </c>
      <c r="S264" s="30"/>
      <c r="T264" s="33"/>
      <c r="U264" s="29"/>
      <c r="V264" s="33"/>
      <c r="W264" s="30"/>
    </row>
    <row r="265" spans="1:23" s="10" customFormat="1" ht="25.5">
      <c r="A265" s="48" t="s">
        <v>517</v>
      </c>
      <c r="B265" s="49">
        <v>42104</v>
      </c>
      <c r="C265" s="48" t="s">
        <v>21</v>
      </c>
      <c r="D265" s="48" t="s">
        <v>243</v>
      </c>
      <c r="E265" s="48" t="s">
        <v>89</v>
      </c>
      <c r="F265" s="48" t="s">
        <v>456</v>
      </c>
      <c r="G265" s="48" t="s">
        <v>486</v>
      </c>
      <c r="H265" s="50" t="s">
        <v>170</v>
      </c>
      <c r="I265" s="51" t="str">
        <f t="shared" si="121"/>
        <v>ATENDIDO</v>
      </c>
      <c r="J265" s="61">
        <v>537</v>
      </c>
      <c r="K265" s="53">
        <v>42118</v>
      </c>
      <c r="L265" s="53">
        <v>42105</v>
      </c>
      <c r="M265" s="54">
        <v>1</v>
      </c>
      <c r="N265" s="55" t="s">
        <v>266</v>
      </c>
      <c r="O265" s="54">
        <f t="shared" si="122"/>
        <v>11</v>
      </c>
      <c r="P265" s="54">
        <f t="shared" si="119"/>
        <v>1</v>
      </c>
      <c r="Q265" s="54">
        <v>1</v>
      </c>
      <c r="R265" s="60" t="s">
        <v>267</v>
      </c>
      <c r="S265" s="30"/>
      <c r="T265" s="33"/>
      <c r="U265" s="29"/>
      <c r="V265" s="33"/>
      <c r="W265" s="30"/>
    </row>
    <row r="266" spans="1:23" s="10" customFormat="1" ht="25.5">
      <c r="A266" s="48" t="s">
        <v>516</v>
      </c>
      <c r="B266" s="49">
        <v>42104</v>
      </c>
      <c r="C266" s="48" t="s">
        <v>21</v>
      </c>
      <c r="D266" s="48" t="s">
        <v>243</v>
      </c>
      <c r="E266" s="48" t="s">
        <v>89</v>
      </c>
      <c r="F266" s="48" t="s">
        <v>456</v>
      </c>
      <c r="G266" s="48" t="s">
        <v>486</v>
      </c>
      <c r="H266" s="50" t="s">
        <v>170</v>
      </c>
      <c r="I266" s="51" t="str">
        <f t="shared" si="121"/>
        <v>ATENDIDO</v>
      </c>
      <c r="J266" s="61">
        <v>536</v>
      </c>
      <c r="K266" s="53">
        <v>42122</v>
      </c>
      <c r="L266" s="53">
        <v>42105</v>
      </c>
      <c r="M266" s="54">
        <v>1</v>
      </c>
      <c r="N266" s="55" t="s">
        <v>266</v>
      </c>
      <c r="O266" s="54">
        <f t="shared" si="122"/>
        <v>13</v>
      </c>
      <c r="P266" s="54">
        <f t="shared" si="119"/>
        <v>1</v>
      </c>
      <c r="Q266" s="54">
        <v>1</v>
      </c>
      <c r="R266" s="60" t="s">
        <v>267</v>
      </c>
      <c r="S266" s="30"/>
      <c r="T266" s="33"/>
      <c r="U266" s="29"/>
      <c r="V266" s="33"/>
      <c r="W266" s="30"/>
    </row>
    <row r="267" spans="1:23" s="10" customFormat="1" ht="25.5">
      <c r="A267" s="48" t="s">
        <v>515</v>
      </c>
      <c r="B267" s="49">
        <v>42104</v>
      </c>
      <c r="C267" s="48" t="s">
        <v>21</v>
      </c>
      <c r="D267" s="48" t="s">
        <v>243</v>
      </c>
      <c r="E267" s="48" t="s">
        <v>89</v>
      </c>
      <c r="F267" s="48" t="s">
        <v>456</v>
      </c>
      <c r="G267" s="48" t="s">
        <v>486</v>
      </c>
      <c r="H267" s="50" t="s">
        <v>170</v>
      </c>
      <c r="I267" s="51" t="str">
        <f t="shared" si="121"/>
        <v>ATENDIDO</v>
      </c>
      <c r="J267" s="61">
        <v>223</v>
      </c>
      <c r="K267" s="53">
        <v>42116</v>
      </c>
      <c r="L267" s="53">
        <v>42105</v>
      </c>
      <c r="M267" s="54">
        <v>1</v>
      </c>
      <c r="N267" s="55" t="s">
        <v>266</v>
      </c>
      <c r="O267" s="54">
        <f t="shared" si="122"/>
        <v>9</v>
      </c>
      <c r="P267" s="54">
        <f t="shared" si="119"/>
        <v>1</v>
      </c>
      <c r="Q267" s="54">
        <v>1</v>
      </c>
      <c r="R267" s="60" t="s">
        <v>267</v>
      </c>
      <c r="S267" s="30"/>
      <c r="T267" s="33"/>
      <c r="U267" s="29"/>
      <c r="V267" s="33"/>
      <c r="W267" s="30"/>
    </row>
    <row r="268" spans="1:23" s="10" customFormat="1" ht="25.5">
      <c r="A268" s="48" t="s">
        <v>514</v>
      </c>
      <c r="B268" s="49">
        <v>42104</v>
      </c>
      <c r="C268" s="48" t="s">
        <v>21</v>
      </c>
      <c r="D268" s="48" t="s">
        <v>243</v>
      </c>
      <c r="E268" s="48" t="s">
        <v>89</v>
      </c>
      <c r="F268" s="48" t="s">
        <v>456</v>
      </c>
      <c r="G268" s="48" t="s">
        <v>486</v>
      </c>
      <c r="H268" s="50" t="s">
        <v>170</v>
      </c>
      <c r="I268" s="51" t="str">
        <f t="shared" si="121"/>
        <v>ATENDIDO</v>
      </c>
      <c r="J268" s="61">
        <v>556</v>
      </c>
      <c r="K268" s="53">
        <v>42135</v>
      </c>
      <c r="L268" s="53">
        <v>42105</v>
      </c>
      <c r="M268" s="54">
        <v>1</v>
      </c>
      <c r="N268" s="55" t="s">
        <v>266</v>
      </c>
      <c r="O268" s="54">
        <f t="shared" si="122"/>
        <v>22</v>
      </c>
      <c r="P268" s="54">
        <f t="shared" si="119"/>
        <v>1</v>
      </c>
      <c r="Q268" s="54">
        <v>1</v>
      </c>
      <c r="R268" s="60" t="s">
        <v>267</v>
      </c>
      <c r="S268" s="30"/>
      <c r="T268" s="33"/>
      <c r="U268" s="29"/>
      <c r="V268" s="33"/>
      <c r="W268" s="30"/>
    </row>
    <row r="269" spans="1:23" s="10" customFormat="1" ht="25.5">
      <c r="A269" s="48" t="s">
        <v>510</v>
      </c>
      <c r="B269" s="49">
        <v>42100</v>
      </c>
      <c r="C269" s="48" t="s">
        <v>60</v>
      </c>
      <c r="D269" s="48" t="s">
        <v>10</v>
      </c>
      <c r="E269" s="48" t="s">
        <v>511</v>
      </c>
      <c r="F269" s="48" t="s">
        <v>512</v>
      </c>
      <c r="G269" s="48" t="s">
        <v>513</v>
      </c>
      <c r="H269" s="50" t="s">
        <v>170</v>
      </c>
      <c r="I269" s="51" t="str">
        <f t="shared" si="121"/>
        <v>ATENDIDO</v>
      </c>
      <c r="J269" s="61">
        <v>539</v>
      </c>
      <c r="K269" s="53">
        <v>42121</v>
      </c>
      <c r="L269" s="53">
        <v>42108</v>
      </c>
      <c r="M269" s="54">
        <v>1</v>
      </c>
      <c r="N269" s="55" t="s">
        <v>266</v>
      </c>
      <c r="O269" s="54">
        <f t="shared" si="122"/>
        <v>16</v>
      </c>
      <c r="P269" s="54">
        <f t="shared" si="119"/>
        <v>7</v>
      </c>
      <c r="Q269" s="64">
        <v>1</v>
      </c>
      <c r="R269" s="60" t="s">
        <v>267</v>
      </c>
      <c r="S269" s="30"/>
      <c r="T269" s="33"/>
      <c r="U269" s="29"/>
      <c r="V269" s="33"/>
      <c r="W269" s="30"/>
    </row>
    <row r="270" spans="1:23" s="10" customFormat="1" ht="25.5">
      <c r="A270" s="48" t="s">
        <v>508</v>
      </c>
      <c r="B270" s="49">
        <v>42090</v>
      </c>
      <c r="C270" s="48" t="s">
        <v>18</v>
      </c>
      <c r="D270" s="48" t="s">
        <v>243</v>
      </c>
      <c r="E270" s="48" t="s">
        <v>76</v>
      </c>
      <c r="F270" s="48" t="s">
        <v>407</v>
      </c>
      <c r="G270" s="48" t="s">
        <v>365</v>
      </c>
      <c r="H270" s="50" t="s">
        <v>170</v>
      </c>
      <c r="I270" s="51" t="str">
        <f t="shared" si="121"/>
        <v>ATENDIDO</v>
      </c>
      <c r="J270" s="61">
        <v>190</v>
      </c>
      <c r="K270" s="53">
        <v>42094</v>
      </c>
      <c r="L270" s="53">
        <v>42094</v>
      </c>
      <c r="M270" s="54">
        <v>1</v>
      </c>
      <c r="N270" s="55" t="s">
        <v>266</v>
      </c>
      <c r="O270" s="55"/>
      <c r="P270" s="54">
        <f t="shared" ref="P270:P275" si="123">IF(L270=0,0,(NETWORKDAYS(B270,L270)))</f>
        <v>3</v>
      </c>
      <c r="Q270" s="64">
        <v>1</v>
      </c>
      <c r="R270" s="60" t="s">
        <v>267</v>
      </c>
      <c r="S270" s="30"/>
      <c r="T270" s="33"/>
      <c r="U270" s="29"/>
      <c r="V270" s="33"/>
      <c r="W270" s="30"/>
    </row>
    <row r="271" spans="1:23" s="10" customFormat="1" ht="25.5">
      <c r="A271" s="48" t="s">
        <v>505</v>
      </c>
      <c r="B271" s="49">
        <v>42090</v>
      </c>
      <c r="C271" s="48" t="s">
        <v>29</v>
      </c>
      <c r="D271" s="48" t="s">
        <v>243</v>
      </c>
      <c r="E271" s="48" t="s">
        <v>91</v>
      </c>
      <c r="F271" s="48" t="s">
        <v>506</v>
      </c>
      <c r="G271" s="48" t="s">
        <v>507</v>
      </c>
      <c r="H271" s="50" t="s">
        <v>341</v>
      </c>
      <c r="I271" s="51" t="str">
        <f t="shared" ref="I271:I276" si="124">IF(J271=0,"PENDIENTE",IF(J271="C","CORREO ENVIADO",IF(J271="OF","OFICIO EN FIRMA",IF(J271="PF","PLANOS EN FIRMA",IF(J271="OM","OFICIO MAQUINADO","ATENDIDO")))))</f>
        <v>ATENDIDO</v>
      </c>
      <c r="J271" s="61">
        <v>186</v>
      </c>
      <c r="K271" s="53">
        <v>42091</v>
      </c>
      <c r="L271" s="53">
        <v>42091</v>
      </c>
      <c r="M271" s="54">
        <v>1</v>
      </c>
      <c r="N271" s="55" t="s">
        <v>266</v>
      </c>
      <c r="O271" s="55"/>
      <c r="P271" s="54">
        <f t="shared" si="123"/>
        <v>1</v>
      </c>
      <c r="Q271" s="54">
        <v>1</v>
      </c>
      <c r="R271" s="60" t="s">
        <v>267</v>
      </c>
      <c r="S271" s="30"/>
      <c r="T271" s="33"/>
      <c r="U271" s="29"/>
      <c r="V271" s="33"/>
      <c r="W271" s="30"/>
    </row>
    <row r="272" spans="1:23" s="10" customFormat="1" ht="25.5">
      <c r="A272" s="48" t="s">
        <v>503</v>
      </c>
      <c r="B272" s="49">
        <v>42090</v>
      </c>
      <c r="C272" s="48" t="s">
        <v>498</v>
      </c>
      <c r="D272" s="48" t="s">
        <v>243</v>
      </c>
      <c r="E272" s="48" t="s">
        <v>93</v>
      </c>
      <c r="F272" s="48" t="s">
        <v>504</v>
      </c>
      <c r="G272" s="48" t="s">
        <v>497</v>
      </c>
      <c r="H272" s="50" t="s">
        <v>170</v>
      </c>
      <c r="I272" s="51" t="str">
        <f t="shared" si="124"/>
        <v>ATENDIDO</v>
      </c>
      <c r="J272" s="61">
        <v>200</v>
      </c>
      <c r="K272" s="53">
        <v>42103</v>
      </c>
      <c r="L272" s="53">
        <v>42103</v>
      </c>
      <c r="M272" s="54">
        <v>1</v>
      </c>
      <c r="N272" s="55" t="s">
        <v>266</v>
      </c>
      <c r="O272" s="55"/>
      <c r="P272" s="54">
        <f t="shared" si="123"/>
        <v>10</v>
      </c>
      <c r="Q272" s="54">
        <v>1</v>
      </c>
      <c r="R272" s="60" t="s">
        <v>267</v>
      </c>
      <c r="S272" s="30"/>
      <c r="T272" s="33"/>
      <c r="U272" s="29"/>
      <c r="V272" s="33"/>
      <c r="W272" s="30"/>
    </row>
    <row r="273" spans="1:23" s="10" customFormat="1" ht="25.5">
      <c r="A273" s="48" t="s">
        <v>500</v>
      </c>
      <c r="B273" s="49">
        <v>42090</v>
      </c>
      <c r="C273" s="48" t="s">
        <v>316</v>
      </c>
      <c r="D273" s="48" t="s">
        <v>243</v>
      </c>
      <c r="E273" s="48" t="s">
        <v>129</v>
      </c>
      <c r="F273" s="48" t="s">
        <v>501</v>
      </c>
      <c r="G273" s="48" t="s">
        <v>502</v>
      </c>
      <c r="H273" s="50" t="s">
        <v>170</v>
      </c>
      <c r="I273" s="51" t="str">
        <f t="shared" si="124"/>
        <v>ATENDIDO</v>
      </c>
      <c r="J273" s="61">
        <v>185</v>
      </c>
      <c r="K273" s="53">
        <v>42093</v>
      </c>
      <c r="L273" s="53">
        <v>42093</v>
      </c>
      <c r="M273" s="54">
        <v>1</v>
      </c>
      <c r="N273" s="55" t="s">
        <v>266</v>
      </c>
      <c r="O273" s="55"/>
      <c r="P273" s="54">
        <f t="shared" si="123"/>
        <v>2</v>
      </c>
      <c r="Q273" s="54">
        <v>1</v>
      </c>
      <c r="R273" s="60" t="s">
        <v>267</v>
      </c>
      <c r="S273" s="30"/>
      <c r="T273" s="33"/>
      <c r="U273" s="29"/>
      <c r="V273" s="33"/>
      <c r="W273" s="30"/>
    </row>
    <row r="274" spans="1:23" s="10" customFormat="1" ht="25.5">
      <c r="A274" s="48" t="s">
        <v>499</v>
      </c>
      <c r="B274" s="49">
        <v>42087</v>
      </c>
      <c r="C274" s="48" t="s">
        <v>34</v>
      </c>
      <c r="D274" s="48" t="s">
        <v>243</v>
      </c>
      <c r="E274" s="48" t="s">
        <v>82</v>
      </c>
      <c r="F274" s="48" t="s">
        <v>374</v>
      </c>
      <c r="G274" s="48" t="s">
        <v>365</v>
      </c>
      <c r="H274" s="50" t="s">
        <v>172</v>
      </c>
      <c r="I274" s="51" t="str">
        <f t="shared" si="124"/>
        <v>ATENDIDO</v>
      </c>
      <c r="J274" s="61" t="s">
        <v>408</v>
      </c>
      <c r="K274" s="53">
        <v>42108</v>
      </c>
      <c r="L274" s="53">
        <v>42094</v>
      </c>
      <c r="M274" s="54">
        <v>1</v>
      </c>
      <c r="N274" s="55" t="s">
        <v>266</v>
      </c>
      <c r="O274" s="55"/>
      <c r="P274" s="54">
        <f t="shared" si="123"/>
        <v>6</v>
      </c>
      <c r="Q274" s="54">
        <v>1</v>
      </c>
      <c r="R274" s="60" t="s">
        <v>267</v>
      </c>
      <c r="S274" s="30"/>
      <c r="T274" s="33"/>
      <c r="U274" s="29"/>
      <c r="V274" s="33"/>
      <c r="W274" s="30"/>
    </row>
    <row r="275" spans="1:23" s="10" customFormat="1" ht="25.5">
      <c r="A275" s="48" t="s">
        <v>496</v>
      </c>
      <c r="B275" s="49">
        <v>42087</v>
      </c>
      <c r="C275" s="48" t="s">
        <v>498</v>
      </c>
      <c r="D275" s="48" t="s">
        <v>243</v>
      </c>
      <c r="E275" s="48" t="s">
        <v>80</v>
      </c>
      <c r="F275" s="48" t="s">
        <v>410</v>
      </c>
      <c r="G275" s="48" t="s">
        <v>497</v>
      </c>
      <c r="H275" s="50" t="s">
        <v>170</v>
      </c>
      <c r="I275" s="51" t="str">
        <f t="shared" si="124"/>
        <v>ATENDIDO</v>
      </c>
      <c r="J275" s="61" t="s">
        <v>408</v>
      </c>
      <c r="K275" s="53">
        <v>42089</v>
      </c>
      <c r="L275" s="53">
        <v>42089</v>
      </c>
      <c r="M275" s="54">
        <v>1</v>
      </c>
      <c r="N275" s="55" t="s">
        <v>266</v>
      </c>
      <c r="O275" s="55"/>
      <c r="P275" s="54">
        <f t="shared" si="123"/>
        <v>3</v>
      </c>
      <c r="Q275" s="54">
        <v>1</v>
      </c>
      <c r="R275" s="60" t="s">
        <v>267</v>
      </c>
      <c r="S275" s="30"/>
      <c r="T275" s="33"/>
      <c r="U275" s="29"/>
      <c r="V275" s="33"/>
      <c r="W275" s="30"/>
    </row>
    <row r="276" spans="1:23" s="10" customFormat="1" ht="25.5">
      <c r="A276" s="48" t="s">
        <v>494</v>
      </c>
      <c r="B276" s="49">
        <v>42086</v>
      </c>
      <c r="C276" s="48" t="s">
        <v>23</v>
      </c>
      <c r="D276" s="48" t="s">
        <v>243</v>
      </c>
      <c r="E276" s="48" t="s">
        <v>106</v>
      </c>
      <c r="F276" s="48" t="s">
        <v>495</v>
      </c>
      <c r="G276" s="48" t="s">
        <v>430</v>
      </c>
      <c r="H276" s="50" t="s">
        <v>170</v>
      </c>
      <c r="I276" s="51" t="str">
        <f t="shared" si="124"/>
        <v>ATENDIDO</v>
      </c>
      <c r="J276" s="61">
        <v>181</v>
      </c>
      <c r="K276" s="53">
        <v>42088</v>
      </c>
      <c r="L276" s="53">
        <v>42090</v>
      </c>
      <c r="M276" s="54">
        <v>1</v>
      </c>
      <c r="N276" s="55" t="s">
        <v>266</v>
      </c>
      <c r="O276" s="55"/>
      <c r="P276" s="54">
        <f>IF(L276=0,0,(NETWORKDAYS(B276,L276)))</f>
        <v>5</v>
      </c>
      <c r="Q276" s="54">
        <v>1</v>
      </c>
      <c r="R276" s="60" t="s">
        <v>267</v>
      </c>
      <c r="S276" s="30"/>
      <c r="T276" s="33"/>
      <c r="U276" s="29"/>
      <c r="V276" s="33"/>
      <c r="W276" s="30"/>
    </row>
    <row r="277" spans="1:23" s="10" customFormat="1" ht="25.5">
      <c r="A277" s="48" t="s">
        <v>493</v>
      </c>
      <c r="B277" s="49">
        <v>42083</v>
      </c>
      <c r="C277" s="48" t="s">
        <v>12</v>
      </c>
      <c r="D277" s="48" t="s">
        <v>243</v>
      </c>
      <c r="E277" s="48" t="s">
        <v>71</v>
      </c>
      <c r="F277" s="48" t="s">
        <v>399</v>
      </c>
      <c r="G277" s="48" t="s">
        <v>365</v>
      </c>
      <c r="H277" s="50" t="s">
        <v>341</v>
      </c>
      <c r="I277" s="51" t="str">
        <f t="shared" ref="I277:I282" si="125">IF(J277=0,"PENDIENTE",IF(J277="C","CORREO ENVIADO",IF(J277="OF","OFICIO EN FIRMA",IF(J277="PF","PLANOS EN FIRMA",IF(J277="OM","OFICIO MAQUINADO","ATENDIDO")))))</f>
        <v>ATENDIDO</v>
      </c>
      <c r="J277" s="61">
        <v>207</v>
      </c>
      <c r="K277" s="53">
        <v>42107</v>
      </c>
      <c r="L277" s="53">
        <v>42093</v>
      </c>
      <c r="M277" s="54">
        <v>1</v>
      </c>
      <c r="N277" s="55" t="s">
        <v>266</v>
      </c>
      <c r="O277" s="55"/>
      <c r="P277" s="54">
        <f>IF(L277=0,0,(NETWORKDAYS(B277,L277)))</f>
        <v>7</v>
      </c>
      <c r="Q277" s="54">
        <v>1</v>
      </c>
      <c r="R277" s="60" t="s">
        <v>267</v>
      </c>
      <c r="S277" s="30"/>
      <c r="T277" s="33"/>
      <c r="U277" s="29"/>
      <c r="V277" s="33"/>
      <c r="W277" s="30"/>
    </row>
    <row r="278" spans="1:23" s="10" customFormat="1" ht="25.5">
      <c r="A278" s="48" t="s">
        <v>492</v>
      </c>
      <c r="B278" s="49">
        <v>42083</v>
      </c>
      <c r="C278" s="48" t="s">
        <v>12</v>
      </c>
      <c r="D278" s="48" t="s">
        <v>243</v>
      </c>
      <c r="E278" s="48" t="s">
        <v>71</v>
      </c>
      <c r="F278" s="48" t="s">
        <v>399</v>
      </c>
      <c r="G278" s="48" t="s">
        <v>365</v>
      </c>
      <c r="H278" s="50" t="s">
        <v>341</v>
      </c>
      <c r="I278" s="51" t="str">
        <f t="shared" si="125"/>
        <v>ATENDIDO</v>
      </c>
      <c r="J278" s="61">
        <v>207</v>
      </c>
      <c r="K278" s="53">
        <v>42107</v>
      </c>
      <c r="L278" s="53">
        <v>42093</v>
      </c>
      <c r="M278" s="54">
        <v>1</v>
      </c>
      <c r="N278" s="55" t="s">
        <v>266</v>
      </c>
      <c r="O278" s="55"/>
      <c r="P278" s="54">
        <f t="shared" ref="P278:P340" si="126">IF(L278=0,0,(NETWORKDAYS(B278,L278)))</f>
        <v>7</v>
      </c>
      <c r="Q278" s="54">
        <v>1</v>
      </c>
      <c r="R278" s="60" t="s">
        <v>267</v>
      </c>
      <c r="S278" s="30"/>
      <c r="T278" s="33"/>
      <c r="U278" s="29"/>
      <c r="V278" s="33"/>
      <c r="W278" s="30"/>
    </row>
    <row r="279" spans="1:23" s="10" customFormat="1" ht="25.5">
      <c r="A279" s="48" t="s">
        <v>491</v>
      </c>
      <c r="B279" s="49">
        <v>42083</v>
      </c>
      <c r="C279" s="48" t="s">
        <v>12</v>
      </c>
      <c r="D279" s="48" t="s">
        <v>243</v>
      </c>
      <c r="E279" s="48" t="s">
        <v>71</v>
      </c>
      <c r="F279" s="48" t="s">
        <v>399</v>
      </c>
      <c r="G279" s="48" t="s">
        <v>365</v>
      </c>
      <c r="H279" s="50" t="s">
        <v>341</v>
      </c>
      <c r="I279" s="51" t="str">
        <f t="shared" si="125"/>
        <v>ATENDIDO</v>
      </c>
      <c r="J279" s="61">
        <v>207</v>
      </c>
      <c r="K279" s="53">
        <v>42107</v>
      </c>
      <c r="L279" s="53">
        <v>42093</v>
      </c>
      <c r="M279" s="54">
        <v>1</v>
      </c>
      <c r="N279" s="55" t="s">
        <v>266</v>
      </c>
      <c r="O279" s="55"/>
      <c r="P279" s="54">
        <f t="shared" si="126"/>
        <v>7</v>
      </c>
      <c r="Q279" s="54">
        <v>1</v>
      </c>
      <c r="R279" s="60" t="s">
        <v>267</v>
      </c>
      <c r="S279" s="30"/>
      <c r="T279" s="33"/>
      <c r="U279" s="29"/>
      <c r="V279" s="33"/>
      <c r="W279" s="30"/>
    </row>
    <row r="280" spans="1:23" s="10" customFormat="1" ht="25.5">
      <c r="A280" s="48" t="s">
        <v>490</v>
      </c>
      <c r="B280" s="49">
        <v>42083</v>
      </c>
      <c r="C280" s="48" t="s">
        <v>12</v>
      </c>
      <c r="D280" s="48" t="s">
        <v>243</v>
      </c>
      <c r="E280" s="48" t="s">
        <v>71</v>
      </c>
      <c r="F280" s="48" t="s">
        <v>399</v>
      </c>
      <c r="G280" s="48" t="s">
        <v>365</v>
      </c>
      <c r="H280" s="50" t="s">
        <v>341</v>
      </c>
      <c r="I280" s="51" t="str">
        <f t="shared" si="125"/>
        <v>ATENDIDO</v>
      </c>
      <c r="J280" s="61">
        <v>207</v>
      </c>
      <c r="K280" s="53">
        <v>42107</v>
      </c>
      <c r="L280" s="53">
        <v>42093</v>
      </c>
      <c r="M280" s="54">
        <v>1</v>
      </c>
      <c r="N280" s="55" t="s">
        <v>266</v>
      </c>
      <c r="O280" s="55"/>
      <c r="P280" s="54">
        <f t="shared" si="126"/>
        <v>7</v>
      </c>
      <c r="Q280" s="54">
        <v>1</v>
      </c>
      <c r="R280" s="60" t="s">
        <v>267</v>
      </c>
      <c r="S280" s="30"/>
      <c r="T280" s="33"/>
      <c r="U280" s="29"/>
      <c r="V280" s="33"/>
      <c r="W280" s="30"/>
    </row>
    <row r="281" spans="1:23" s="10" customFormat="1" ht="25.5">
      <c r="A281" s="48" t="s">
        <v>489</v>
      </c>
      <c r="B281" s="49">
        <v>42083</v>
      </c>
      <c r="C281" s="48" t="s">
        <v>12</v>
      </c>
      <c r="D281" s="48" t="s">
        <v>243</v>
      </c>
      <c r="E281" s="48" t="s">
        <v>71</v>
      </c>
      <c r="F281" s="48" t="s">
        <v>399</v>
      </c>
      <c r="G281" s="48" t="s">
        <v>365</v>
      </c>
      <c r="H281" s="50" t="s">
        <v>341</v>
      </c>
      <c r="I281" s="51" t="str">
        <f t="shared" si="125"/>
        <v>ATENDIDO</v>
      </c>
      <c r="J281" s="61">
        <v>207</v>
      </c>
      <c r="K281" s="53">
        <v>42107</v>
      </c>
      <c r="L281" s="53">
        <v>42093</v>
      </c>
      <c r="M281" s="54">
        <v>1</v>
      </c>
      <c r="N281" s="55" t="s">
        <v>266</v>
      </c>
      <c r="O281" s="55"/>
      <c r="P281" s="54">
        <f t="shared" si="126"/>
        <v>7</v>
      </c>
      <c r="Q281" s="54">
        <v>1</v>
      </c>
      <c r="R281" s="60" t="s">
        <v>267</v>
      </c>
      <c r="S281" s="30"/>
      <c r="T281" s="33"/>
      <c r="U281" s="29"/>
      <c r="V281" s="33"/>
      <c r="W281" s="30"/>
    </row>
    <row r="282" spans="1:23" s="10" customFormat="1" ht="25.5">
      <c r="A282" s="48" t="s">
        <v>488</v>
      </c>
      <c r="B282" s="49">
        <v>42083</v>
      </c>
      <c r="C282" s="48" t="s">
        <v>12</v>
      </c>
      <c r="D282" s="48" t="s">
        <v>243</v>
      </c>
      <c r="E282" s="48" t="s">
        <v>71</v>
      </c>
      <c r="F282" s="48" t="s">
        <v>399</v>
      </c>
      <c r="G282" s="48" t="s">
        <v>365</v>
      </c>
      <c r="H282" s="50" t="s">
        <v>341</v>
      </c>
      <c r="I282" s="51" t="str">
        <f t="shared" si="125"/>
        <v>ATENDIDO</v>
      </c>
      <c r="J282" s="61">
        <v>207</v>
      </c>
      <c r="K282" s="53">
        <v>42107</v>
      </c>
      <c r="L282" s="53">
        <v>42093</v>
      </c>
      <c r="M282" s="54">
        <v>1</v>
      </c>
      <c r="N282" s="55" t="s">
        <v>266</v>
      </c>
      <c r="O282" s="55"/>
      <c r="P282" s="54">
        <f t="shared" si="126"/>
        <v>7</v>
      </c>
      <c r="Q282" s="54">
        <v>1</v>
      </c>
      <c r="R282" s="60" t="s">
        <v>267</v>
      </c>
      <c r="S282" s="30"/>
      <c r="T282" s="33"/>
      <c r="U282" s="29"/>
      <c r="V282" s="33"/>
      <c r="W282" s="30"/>
    </row>
    <row r="283" spans="1:23" s="10" customFormat="1" ht="23.25">
      <c r="A283" s="48" t="s">
        <v>487</v>
      </c>
      <c r="B283" s="49">
        <v>42081</v>
      </c>
      <c r="C283" s="48" t="s">
        <v>65</v>
      </c>
      <c r="D283" s="48" t="s">
        <v>243</v>
      </c>
      <c r="E283" s="48" t="s">
        <v>283</v>
      </c>
      <c r="F283" s="48" t="s">
        <v>435</v>
      </c>
      <c r="G283" s="48" t="s">
        <v>397</v>
      </c>
      <c r="H283" s="50" t="s">
        <v>170</v>
      </c>
      <c r="I283" s="51" t="str">
        <f t="shared" ref="I283:I289" si="127">IF(J283=0,"PENDIENTE",IF(J283="C","CORREO ENVIADO",IF(J283="OF","OFICIO EN FIRMA",IF(J283="PF","PLANOS EN FIRMA",IF(J283="OM","OFICIO MAQUINADO","ATENDIDO")))))</f>
        <v>ATENDIDO</v>
      </c>
      <c r="J283" s="61" t="s">
        <v>408</v>
      </c>
      <c r="K283" s="53">
        <v>42107</v>
      </c>
      <c r="L283" s="53">
        <v>42083</v>
      </c>
      <c r="M283" s="54">
        <v>1</v>
      </c>
      <c r="N283" s="55" t="s">
        <v>266</v>
      </c>
      <c r="O283" s="55"/>
      <c r="P283" s="54">
        <f t="shared" si="126"/>
        <v>3</v>
      </c>
      <c r="Q283" s="54">
        <v>1</v>
      </c>
      <c r="R283" s="60" t="s">
        <v>267</v>
      </c>
      <c r="S283" s="30"/>
      <c r="T283" s="33"/>
      <c r="U283" s="29"/>
      <c r="V283" s="33"/>
      <c r="W283" s="30"/>
    </row>
    <row r="284" spans="1:23" s="10" customFormat="1" ht="23.25">
      <c r="A284" s="48" t="s">
        <v>485</v>
      </c>
      <c r="B284" s="49">
        <v>42081</v>
      </c>
      <c r="C284" s="48" t="s">
        <v>66</v>
      </c>
      <c r="D284" s="48" t="s">
        <v>243</v>
      </c>
      <c r="E284" s="48" t="s">
        <v>283</v>
      </c>
      <c r="F284" s="48" t="s">
        <v>435</v>
      </c>
      <c r="G284" s="48" t="s">
        <v>486</v>
      </c>
      <c r="H284" s="50" t="s">
        <v>170</v>
      </c>
      <c r="I284" s="51" t="str">
        <f t="shared" si="127"/>
        <v>ATENDIDO</v>
      </c>
      <c r="J284" s="61" t="s">
        <v>408</v>
      </c>
      <c r="K284" s="53">
        <v>42107</v>
      </c>
      <c r="L284" s="53">
        <v>42083</v>
      </c>
      <c r="M284" s="54">
        <v>1</v>
      </c>
      <c r="N284" s="55" t="s">
        <v>266</v>
      </c>
      <c r="O284" s="55"/>
      <c r="P284" s="54">
        <f t="shared" si="126"/>
        <v>3</v>
      </c>
      <c r="Q284" s="54">
        <v>1</v>
      </c>
      <c r="R284" s="60" t="s">
        <v>267</v>
      </c>
      <c r="S284" s="30"/>
      <c r="T284" s="33"/>
      <c r="U284" s="29"/>
      <c r="V284" s="33"/>
      <c r="W284" s="30"/>
    </row>
    <row r="285" spans="1:23" s="10" customFormat="1" ht="25.5">
      <c r="A285" s="48" t="s">
        <v>484</v>
      </c>
      <c r="B285" s="49">
        <v>42073</v>
      </c>
      <c r="C285" s="48" t="s">
        <v>12</v>
      </c>
      <c r="D285" s="48" t="s">
        <v>243</v>
      </c>
      <c r="E285" s="48" t="s">
        <v>76</v>
      </c>
      <c r="F285" s="48" t="s">
        <v>482</v>
      </c>
      <c r="G285" s="48" t="s">
        <v>365</v>
      </c>
      <c r="H285" s="50" t="s">
        <v>341</v>
      </c>
      <c r="I285" s="51" t="str">
        <f t="shared" si="127"/>
        <v>ATENDIDO</v>
      </c>
      <c r="J285" s="61">
        <v>191</v>
      </c>
      <c r="K285" s="53">
        <v>42094</v>
      </c>
      <c r="L285" s="53">
        <v>42081</v>
      </c>
      <c r="M285" s="54">
        <v>1</v>
      </c>
      <c r="N285" s="55" t="s">
        <v>266</v>
      </c>
      <c r="O285" s="55"/>
      <c r="P285" s="54">
        <f t="shared" si="126"/>
        <v>7</v>
      </c>
      <c r="Q285" s="54">
        <v>1</v>
      </c>
      <c r="R285" s="60" t="s">
        <v>267</v>
      </c>
      <c r="S285" s="30"/>
      <c r="T285" s="33"/>
      <c r="U285" s="29"/>
      <c r="V285" s="33"/>
      <c r="W285" s="30"/>
    </row>
    <row r="286" spans="1:23" s="10" customFormat="1" ht="25.5">
      <c r="A286" s="48" t="s">
        <v>483</v>
      </c>
      <c r="B286" s="49">
        <v>42073</v>
      </c>
      <c r="C286" s="48" t="s">
        <v>12</v>
      </c>
      <c r="D286" s="48" t="s">
        <v>243</v>
      </c>
      <c r="E286" s="48" t="s">
        <v>76</v>
      </c>
      <c r="F286" s="48" t="s">
        <v>482</v>
      </c>
      <c r="G286" s="48" t="s">
        <v>365</v>
      </c>
      <c r="H286" s="50" t="s">
        <v>341</v>
      </c>
      <c r="I286" s="51" t="str">
        <f t="shared" si="127"/>
        <v>ATENDIDO</v>
      </c>
      <c r="J286" s="61">
        <v>195</v>
      </c>
      <c r="K286" s="53">
        <v>42071</v>
      </c>
      <c r="L286" s="53">
        <v>42081</v>
      </c>
      <c r="M286" s="54">
        <v>1</v>
      </c>
      <c r="N286" s="55" t="s">
        <v>266</v>
      </c>
      <c r="O286" s="55"/>
      <c r="P286" s="54">
        <f t="shared" si="126"/>
        <v>7</v>
      </c>
      <c r="Q286" s="54">
        <v>1</v>
      </c>
      <c r="R286" s="60" t="s">
        <v>267</v>
      </c>
      <c r="S286" s="30"/>
      <c r="T286" s="33"/>
      <c r="U286" s="29"/>
      <c r="V286" s="33"/>
      <c r="W286" s="30"/>
    </row>
    <row r="287" spans="1:23" s="10" customFormat="1" ht="25.5">
      <c r="A287" s="48" t="s">
        <v>481</v>
      </c>
      <c r="B287" s="49">
        <v>42073</v>
      </c>
      <c r="C287" s="48" t="s">
        <v>12</v>
      </c>
      <c r="D287" s="48" t="s">
        <v>243</v>
      </c>
      <c r="E287" s="48" t="s">
        <v>76</v>
      </c>
      <c r="F287" s="48" t="s">
        <v>482</v>
      </c>
      <c r="G287" s="48" t="s">
        <v>365</v>
      </c>
      <c r="H287" s="50" t="s">
        <v>172</v>
      </c>
      <c r="I287" s="51" t="str">
        <f t="shared" si="127"/>
        <v>ATENDIDO</v>
      </c>
      <c r="J287" s="61">
        <v>194</v>
      </c>
      <c r="K287" s="53">
        <v>42071</v>
      </c>
      <c r="L287" s="53">
        <v>42074</v>
      </c>
      <c r="M287" s="54">
        <v>1</v>
      </c>
      <c r="N287" s="55" t="s">
        <v>266</v>
      </c>
      <c r="O287" s="55"/>
      <c r="P287" s="54">
        <f t="shared" si="126"/>
        <v>2</v>
      </c>
      <c r="Q287" s="54">
        <v>1</v>
      </c>
      <c r="R287" s="60" t="s">
        <v>267</v>
      </c>
      <c r="S287" s="30"/>
      <c r="T287" s="33"/>
      <c r="U287" s="29"/>
      <c r="V287" s="33"/>
      <c r="W287" s="30"/>
    </row>
    <row r="288" spans="1:23" s="10" customFormat="1" ht="25.5">
      <c r="A288" s="48" t="s">
        <v>479</v>
      </c>
      <c r="B288" s="49">
        <v>42073</v>
      </c>
      <c r="C288" s="48" t="s">
        <v>13</v>
      </c>
      <c r="D288" s="48" t="s">
        <v>243</v>
      </c>
      <c r="E288" s="48" t="s">
        <v>73</v>
      </c>
      <c r="F288" s="48" t="s">
        <v>480</v>
      </c>
      <c r="G288" s="48" t="s">
        <v>365</v>
      </c>
      <c r="H288" s="50" t="s">
        <v>170</v>
      </c>
      <c r="I288" s="51" t="str">
        <f t="shared" si="127"/>
        <v>ATENDIDO</v>
      </c>
      <c r="J288" s="61">
        <v>174</v>
      </c>
      <c r="K288" s="53">
        <v>42087</v>
      </c>
      <c r="L288" s="53">
        <v>42087</v>
      </c>
      <c r="M288" s="54">
        <v>1</v>
      </c>
      <c r="N288" s="55" t="s">
        <v>266</v>
      </c>
      <c r="O288" s="55"/>
      <c r="P288" s="54">
        <f t="shared" si="126"/>
        <v>11</v>
      </c>
      <c r="Q288" s="54">
        <v>1</v>
      </c>
      <c r="R288" s="60" t="s">
        <v>267</v>
      </c>
      <c r="S288" s="30"/>
      <c r="T288" s="33"/>
      <c r="U288" s="29"/>
      <c r="V288" s="33"/>
      <c r="W288" s="30"/>
    </row>
    <row r="289" spans="1:23" s="10" customFormat="1" ht="25.5">
      <c r="A289" s="48" t="s">
        <v>477</v>
      </c>
      <c r="B289" s="49">
        <v>42072</v>
      </c>
      <c r="C289" s="48" t="s">
        <v>13</v>
      </c>
      <c r="D289" s="48" t="s">
        <v>243</v>
      </c>
      <c r="E289" s="48" t="s">
        <v>76</v>
      </c>
      <c r="F289" s="48" t="s">
        <v>478</v>
      </c>
      <c r="G289" s="48" t="s">
        <v>365</v>
      </c>
      <c r="H289" s="50" t="s">
        <v>170</v>
      </c>
      <c r="I289" s="51" t="str">
        <f t="shared" si="127"/>
        <v>ATENDIDO</v>
      </c>
      <c r="J289" s="61">
        <v>169</v>
      </c>
      <c r="K289" s="53">
        <v>42080</v>
      </c>
      <c r="L289" s="53">
        <v>42080</v>
      </c>
      <c r="M289" s="54">
        <v>1</v>
      </c>
      <c r="N289" s="55" t="s">
        <v>266</v>
      </c>
      <c r="O289" s="55"/>
      <c r="P289" s="54">
        <f t="shared" si="126"/>
        <v>7</v>
      </c>
      <c r="Q289" s="54">
        <v>1</v>
      </c>
      <c r="R289" s="60" t="s">
        <v>267</v>
      </c>
      <c r="S289" s="30"/>
      <c r="T289" s="33"/>
      <c r="U289" s="29"/>
      <c r="V289" s="33"/>
      <c r="W289" s="30"/>
    </row>
    <row r="290" spans="1:23" s="10" customFormat="1" ht="25.5">
      <c r="A290" s="48" t="s">
        <v>476</v>
      </c>
      <c r="B290" s="49">
        <v>42069</v>
      </c>
      <c r="C290" s="48" t="s">
        <v>23</v>
      </c>
      <c r="D290" s="48" t="s">
        <v>243</v>
      </c>
      <c r="E290" s="48" t="s">
        <v>89</v>
      </c>
      <c r="F290" s="48" t="s">
        <v>473</v>
      </c>
      <c r="G290" s="48" t="s">
        <v>430</v>
      </c>
      <c r="H290" s="50" t="s">
        <v>172</v>
      </c>
      <c r="I290" s="51" t="str">
        <f t="shared" ref="I290:I295" si="128">IF(J290=0,"PENDIENTE",IF(J290="C","CORREO ENVIADO",IF(J290="OF","OFICIO EN FIRMA",IF(J290="PF","PLANOS EN FIRMA",IF(J290="OM","OFICIO MAQUINADO","ATENDIDO")))))</f>
        <v>ATENDIDO</v>
      </c>
      <c r="J290" s="61">
        <v>173</v>
      </c>
      <c r="K290" s="53">
        <v>42086</v>
      </c>
      <c r="L290" s="53">
        <v>42086</v>
      </c>
      <c r="M290" s="54">
        <v>1</v>
      </c>
      <c r="N290" s="55" t="s">
        <v>266</v>
      </c>
      <c r="O290" s="55"/>
      <c r="P290" s="54">
        <f t="shared" si="126"/>
        <v>12</v>
      </c>
      <c r="Q290" s="54">
        <v>1</v>
      </c>
      <c r="R290" s="60" t="s">
        <v>267</v>
      </c>
      <c r="S290" s="30"/>
      <c r="T290" s="33"/>
      <c r="U290" s="29"/>
      <c r="V290" s="33"/>
      <c r="W290" s="30"/>
    </row>
    <row r="291" spans="1:23" s="10" customFormat="1" ht="25.5">
      <c r="A291" s="48" t="s">
        <v>475</v>
      </c>
      <c r="B291" s="49">
        <v>42069</v>
      </c>
      <c r="C291" s="48" t="s">
        <v>23</v>
      </c>
      <c r="D291" s="48" t="s">
        <v>243</v>
      </c>
      <c r="E291" s="48" t="s">
        <v>89</v>
      </c>
      <c r="F291" s="48" t="s">
        <v>473</v>
      </c>
      <c r="G291" s="48" t="s">
        <v>430</v>
      </c>
      <c r="H291" s="50" t="s">
        <v>172</v>
      </c>
      <c r="I291" s="51" t="str">
        <f t="shared" si="128"/>
        <v>ATENDIDO</v>
      </c>
      <c r="J291" s="61">
        <v>173</v>
      </c>
      <c r="K291" s="53">
        <v>42086</v>
      </c>
      <c r="L291" s="53">
        <v>42086</v>
      </c>
      <c r="M291" s="54">
        <v>1</v>
      </c>
      <c r="N291" s="55" t="s">
        <v>266</v>
      </c>
      <c r="O291" s="55"/>
      <c r="P291" s="54">
        <f t="shared" si="126"/>
        <v>12</v>
      </c>
      <c r="Q291" s="54">
        <v>1</v>
      </c>
      <c r="R291" s="60" t="s">
        <v>267</v>
      </c>
      <c r="S291" s="30"/>
      <c r="T291" s="33"/>
      <c r="U291" s="29"/>
      <c r="V291" s="33"/>
      <c r="W291" s="30"/>
    </row>
    <row r="292" spans="1:23" s="10" customFormat="1" ht="25.5">
      <c r="A292" s="48" t="s">
        <v>474</v>
      </c>
      <c r="B292" s="49">
        <v>42069</v>
      </c>
      <c r="C292" s="48" t="s">
        <v>23</v>
      </c>
      <c r="D292" s="48" t="s">
        <v>243</v>
      </c>
      <c r="E292" s="48" t="s">
        <v>89</v>
      </c>
      <c r="F292" s="48" t="s">
        <v>473</v>
      </c>
      <c r="G292" s="48" t="s">
        <v>430</v>
      </c>
      <c r="H292" s="50" t="s">
        <v>341</v>
      </c>
      <c r="I292" s="51" t="str">
        <f t="shared" si="128"/>
        <v>ATENDIDO</v>
      </c>
      <c r="J292" s="61">
        <v>158</v>
      </c>
      <c r="K292" s="53">
        <v>42074</v>
      </c>
      <c r="L292" s="53">
        <v>42074</v>
      </c>
      <c r="M292" s="54">
        <v>1</v>
      </c>
      <c r="N292" s="55" t="s">
        <v>266</v>
      </c>
      <c r="O292" s="55"/>
      <c r="P292" s="54">
        <f t="shared" si="126"/>
        <v>4</v>
      </c>
      <c r="Q292" s="54">
        <v>1</v>
      </c>
      <c r="R292" s="60" t="s">
        <v>267</v>
      </c>
      <c r="S292" s="30"/>
      <c r="T292" s="33"/>
      <c r="U292" s="29"/>
      <c r="V292" s="33"/>
      <c r="W292" s="30"/>
    </row>
    <row r="293" spans="1:23" s="10" customFormat="1" ht="25.5">
      <c r="A293" s="48" t="s">
        <v>472</v>
      </c>
      <c r="B293" s="49">
        <v>42069</v>
      </c>
      <c r="C293" s="48" t="s">
        <v>23</v>
      </c>
      <c r="D293" s="48" t="s">
        <v>243</v>
      </c>
      <c r="E293" s="48" t="s">
        <v>89</v>
      </c>
      <c r="F293" s="48" t="s">
        <v>473</v>
      </c>
      <c r="G293" s="48" t="s">
        <v>430</v>
      </c>
      <c r="H293" s="50" t="s">
        <v>341</v>
      </c>
      <c r="I293" s="51" t="str">
        <f t="shared" si="128"/>
        <v>ATENDIDO</v>
      </c>
      <c r="J293" s="61">
        <v>159</v>
      </c>
      <c r="K293" s="53">
        <v>42073</v>
      </c>
      <c r="L293" s="53">
        <v>42073</v>
      </c>
      <c r="M293" s="54">
        <v>1</v>
      </c>
      <c r="N293" s="55" t="s">
        <v>266</v>
      </c>
      <c r="O293" s="55"/>
      <c r="P293" s="54">
        <f t="shared" si="126"/>
        <v>3</v>
      </c>
      <c r="Q293" s="54">
        <v>1</v>
      </c>
      <c r="R293" s="60" t="s">
        <v>267</v>
      </c>
      <c r="S293" s="30"/>
      <c r="T293" s="33"/>
      <c r="U293" s="29"/>
      <c r="V293" s="33"/>
      <c r="W293" s="30"/>
    </row>
    <row r="294" spans="1:23" s="10" customFormat="1" ht="25.5">
      <c r="A294" s="48" t="s">
        <v>470</v>
      </c>
      <c r="B294" s="49">
        <v>42069</v>
      </c>
      <c r="C294" s="48" t="s">
        <v>33</v>
      </c>
      <c r="D294" s="48" t="s">
        <v>243</v>
      </c>
      <c r="E294" s="48" t="s">
        <v>129</v>
      </c>
      <c r="F294" s="48" t="s">
        <v>471</v>
      </c>
      <c r="G294" s="48" t="s">
        <v>462</v>
      </c>
      <c r="H294" s="50" t="s">
        <v>170</v>
      </c>
      <c r="I294" s="51" t="str">
        <f t="shared" si="128"/>
        <v>ATENDIDO</v>
      </c>
      <c r="J294" s="61">
        <v>151</v>
      </c>
      <c r="K294" s="53">
        <v>42073</v>
      </c>
      <c r="L294" s="53">
        <v>42073</v>
      </c>
      <c r="M294" s="54">
        <v>1</v>
      </c>
      <c r="N294" s="55" t="s">
        <v>266</v>
      </c>
      <c r="O294" s="55"/>
      <c r="P294" s="54">
        <f t="shared" si="126"/>
        <v>3</v>
      </c>
      <c r="Q294" s="54">
        <v>1</v>
      </c>
      <c r="R294" s="60" t="s">
        <v>267</v>
      </c>
      <c r="S294" s="30"/>
      <c r="T294" s="33"/>
      <c r="U294" s="29"/>
      <c r="V294" s="33"/>
      <c r="W294" s="30"/>
    </row>
    <row r="295" spans="1:23" s="10" customFormat="1" ht="25.5">
      <c r="A295" s="48" t="s">
        <v>468</v>
      </c>
      <c r="B295" s="49">
        <v>42062</v>
      </c>
      <c r="C295" s="48" t="s">
        <v>26</v>
      </c>
      <c r="D295" s="48" t="s">
        <v>243</v>
      </c>
      <c r="E295" s="48" t="s">
        <v>96</v>
      </c>
      <c r="F295" s="48" t="s">
        <v>418</v>
      </c>
      <c r="G295" s="48" t="s">
        <v>469</v>
      </c>
      <c r="H295" s="50" t="s">
        <v>170</v>
      </c>
      <c r="I295" s="51" t="str">
        <f t="shared" si="128"/>
        <v>ATENDIDO</v>
      </c>
      <c r="J295" s="61">
        <v>136</v>
      </c>
      <c r="K295" s="53">
        <v>42066</v>
      </c>
      <c r="L295" s="53">
        <v>42066</v>
      </c>
      <c r="M295" s="54">
        <v>1</v>
      </c>
      <c r="N295" s="55" t="s">
        <v>266</v>
      </c>
      <c r="O295" s="55"/>
      <c r="P295" s="54">
        <f t="shared" si="126"/>
        <v>3</v>
      </c>
      <c r="Q295" s="54">
        <v>1</v>
      </c>
      <c r="R295" s="60" t="s">
        <v>267</v>
      </c>
      <c r="S295" s="30"/>
      <c r="T295" s="33"/>
      <c r="U295" s="29"/>
      <c r="V295" s="33"/>
      <c r="W295" s="30"/>
    </row>
    <row r="296" spans="1:23" s="10" customFormat="1" ht="25.5">
      <c r="A296" s="48" t="s">
        <v>467</v>
      </c>
      <c r="B296" s="49">
        <v>42061</v>
      </c>
      <c r="C296" s="48" t="s">
        <v>12</v>
      </c>
      <c r="D296" s="48" t="s">
        <v>243</v>
      </c>
      <c r="E296" s="48" t="s">
        <v>71</v>
      </c>
      <c r="F296" s="48" t="s">
        <v>399</v>
      </c>
      <c r="G296" s="48" t="s">
        <v>365</v>
      </c>
      <c r="H296" s="50" t="s">
        <v>341</v>
      </c>
      <c r="I296" s="51" t="str">
        <f t="shared" ref="I296:I301" si="129">IF(J296=0,"PENDIENTE",IF(J296="C","CORREO ENVIADO",IF(J296="OF","OFICIO EN FIRMA",IF(J296="PF","PLANOS EN FIRMA",IF(J296="OM","OFICIO MAQUINADO","ATENDIDO")))))</f>
        <v>ATENDIDO</v>
      </c>
      <c r="J296" s="61">
        <v>150</v>
      </c>
      <c r="K296" s="53">
        <v>42069</v>
      </c>
      <c r="L296" s="53">
        <v>42069</v>
      </c>
      <c r="M296" s="54">
        <v>1</v>
      </c>
      <c r="N296" s="55" t="s">
        <v>266</v>
      </c>
      <c r="O296" s="55"/>
      <c r="P296" s="54">
        <f t="shared" si="126"/>
        <v>7</v>
      </c>
      <c r="Q296" s="54">
        <v>1</v>
      </c>
      <c r="R296" s="60" t="s">
        <v>267</v>
      </c>
      <c r="S296" s="30"/>
      <c r="T296" s="33"/>
      <c r="U296" s="29"/>
      <c r="V296" s="33"/>
      <c r="W296" s="30"/>
    </row>
    <row r="297" spans="1:23" s="10" customFormat="1" ht="25.5">
      <c r="A297" s="48" t="s">
        <v>466</v>
      </c>
      <c r="B297" s="49">
        <v>42061</v>
      </c>
      <c r="C297" s="48" t="s">
        <v>12</v>
      </c>
      <c r="D297" s="48" t="s">
        <v>243</v>
      </c>
      <c r="E297" s="48" t="s">
        <v>71</v>
      </c>
      <c r="F297" s="48" t="s">
        <v>399</v>
      </c>
      <c r="G297" s="48" t="s">
        <v>365</v>
      </c>
      <c r="H297" s="50" t="s">
        <v>341</v>
      </c>
      <c r="I297" s="51" t="str">
        <f t="shared" si="129"/>
        <v>ATENDIDO</v>
      </c>
      <c r="J297" s="61">
        <v>150</v>
      </c>
      <c r="K297" s="53">
        <v>42069</v>
      </c>
      <c r="L297" s="53">
        <v>42069</v>
      </c>
      <c r="M297" s="54">
        <v>1</v>
      </c>
      <c r="N297" s="55" t="s">
        <v>266</v>
      </c>
      <c r="O297" s="55"/>
      <c r="P297" s="54">
        <f t="shared" si="126"/>
        <v>7</v>
      </c>
      <c r="Q297" s="54">
        <v>1</v>
      </c>
      <c r="R297" s="60" t="s">
        <v>267</v>
      </c>
      <c r="S297" s="30"/>
      <c r="T297" s="33"/>
      <c r="U297" s="29"/>
      <c r="V297" s="33"/>
      <c r="W297" s="30"/>
    </row>
    <row r="298" spans="1:23" s="10" customFormat="1" ht="25.5">
      <c r="A298" s="48" t="s">
        <v>465</v>
      </c>
      <c r="B298" s="49">
        <v>42061</v>
      </c>
      <c r="C298" s="48" t="s">
        <v>12</v>
      </c>
      <c r="D298" s="48" t="s">
        <v>243</v>
      </c>
      <c r="E298" s="48" t="s">
        <v>71</v>
      </c>
      <c r="F298" s="48" t="s">
        <v>399</v>
      </c>
      <c r="G298" s="48" t="s">
        <v>365</v>
      </c>
      <c r="H298" s="50" t="s">
        <v>341</v>
      </c>
      <c r="I298" s="51" t="str">
        <f t="shared" si="129"/>
        <v>ATENDIDO</v>
      </c>
      <c r="J298" s="61">
        <v>150</v>
      </c>
      <c r="K298" s="53">
        <v>42069</v>
      </c>
      <c r="L298" s="53">
        <v>42069</v>
      </c>
      <c r="M298" s="54">
        <v>1</v>
      </c>
      <c r="N298" s="55" t="s">
        <v>266</v>
      </c>
      <c r="O298" s="55"/>
      <c r="P298" s="54">
        <f t="shared" si="126"/>
        <v>7</v>
      </c>
      <c r="Q298" s="54">
        <v>1</v>
      </c>
      <c r="R298" s="60" t="s">
        <v>267</v>
      </c>
      <c r="S298" s="30"/>
      <c r="T298" s="33"/>
      <c r="U298" s="29"/>
      <c r="V298" s="33"/>
      <c r="W298" s="30"/>
    </row>
    <row r="299" spans="1:23" s="10" customFormat="1" ht="25.5">
      <c r="A299" s="48" t="s">
        <v>464</v>
      </c>
      <c r="B299" s="49">
        <v>42061</v>
      </c>
      <c r="C299" s="48" t="s">
        <v>25</v>
      </c>
      <c r="D299" s="48" t="s">
        <v>243</v>
      </c>
      <c r="E299" s="48" t="s">
        <v>71</v>
      </c>
      <c r="F299" s="48" t="s">
        <v>399</v>
      </c>
      <c r="G299" s="48" t="s">
        <v>365</v>
      </c>
      <c r="H299" s="50" t="s">
        <v>341</v>
      </c>
      <c r="I299" s="51" t="str">
        <f t="shared" si="129"/>
        <v>ATENDIDO</v>
      </c>
      <c r="J299" s="61">
        <v>142</v>
      </c>
      <c r="K299" s="53">
        <v>42066</v>
      </c>
      <c r="L299" s="53">
        <v>42066</v>
      </c>
      <c r="M299" s="54">
        <v>1</v>
      </c>
      <c r="N299" s="55" t="s">
        <v>266</v>
      </c>
      <c r="O299" s="55"/>
      <c r="P299" s="54">
        <f t="shared" si="126"/>
        <v>4</v>
      </c>
      <c r="Q299" s="54">
        <v>1</v>
      </c>
      <c r="R299" s="60" t="s">
        <v>267</v>
      </c>
      <c r="S299" s="30"/>
      <c r="T299" s="33"/>
      <c r="U299" s="29"/>
      <c r="V299" s="33"/>
      <c r="W299" s="30"/>
    </row>
    <row r="300" spans="1:23" s="10" customFormat="1" ht="25.5">
      <c r="A300" s="48" t="s">
        <v>463</v>
      </c>
      <c r="B300" s="49">
        <v>42058</v>
      </c>
      <c r="C300" s="48" t="s">
        <v>48</v>
      </c>
      <c r="D300" s="48" t="s">
        <v>243</v>
      </c>
      <c r="E300" s="48" t="s">
        <v>94</v>
      </c>
      <c r="F300" s="48" t="s">
        <v>379</v>
      </c>
      <c r="G300" s="48" t="s">
        <v>365</v>
      </c>
      <c r="H300" s="50" t="s">
        <v>172</v>
      </c>
      <c r="I300" s="51" t="str">
        <f t="shared" si="129"/>
        <v>ATENDIDO</v>
      </c>
      <c r="J300" s="61">
        <v>135</v>
      </c>
      <c r="K300" s="53">
        <v>42066</v>
      </c>
      <c r="L300" s="53">
        <v>42066</v>
      </c>
      <c r="M300" s="54">
        <v>1</v>
      </c>
      <c r="N300" s="55" t="s">
        <v>266</v>
      </c>
      <c r="O300" s="55"/>
      <c r="P300" s="54">
        <f t="shared" si="126"/>
        <v>7</v>
      </c>
      <c r="Q300" s="54">
        <v>1</v>
      </c>
      <c r="R300" s="60" t="s">
        <v>267</v>
      </c>
      <c r="S300" s="30"/>
      <c r="T300" s="33"/>
      <c r="U300" s="29"/>
      <c r="V300" s="33"/>
      <c r="W300" s="30"/>
    </row>
    <row r="301" spans="1:23" s="10" customFormat="1" ht="25.5">
      <c r="A301" s="48" t="s">
        <v>460</v>
      </c>
      <c r="B301" s="49">
        <v>42054</v>
      </c>
      <c r="C301" s="48" t="s">
        <v>33</v>
      </c>
      <c r="D301" s="48" t="s">
        <v>243</v>
      </c>
      <c r="E301" s="48" t="s">
        <v>129</v>
      </c>
      <c r="F301" s="48" t="s">
        <v>461</v>
      </c>
      <c r="G301" s="48" t="s">
        <v>462</v>
      </c>
      <c r="H301" s="50" t="s">
        <v>170</v>
      </c>
      <c r="I301" s="51" t="str">
        <f t="shared" si="129"/>
        <v>ATENDIDO</v>
      </c>
      <c r="J301" s="61">
        <v>151</v>
      </c>
      <c r="K301" s="53">
        <v>42058</v>
      </c>
      <c r="L301" s="53">
        <v>42058</v>
      </c>
      <c r="M301" s="54">
        <v>1</v>
      </c>
      <c r="N301" s="55" t="s">
        <v>266</v>
      </c>
      <c r="O301" s="55"/>
      <c r="P301" s="54">
        <f t="shared" si="126"/>
        <v>3</v>
      </c>
      <c r="Q301" s="54">
        <v>1</v>
      </c>
      <c r="R301" s="60" t="s">
        <v>267</v>
      </c>
      <c r="S301" s="30"/>
      <c r="T301" s="33"/>
      <c r="U301" s="29"/>
      <c r="V301" s="33"/>
      <c r="W301" s="30"/>
    </row>
    <row r="302" spans="1:23" s="10" customFormat="1" ht="25.5">
      <c r="A302" s="48" t="s">
        <v>458</v>
      </c>
      <c r="B302" s="49">
        <v>42053</v>
      </c>
      <c r="C302" s="48" t="s">
        <v>63</v>
      </c>
      <c r="D302" s="48" t="s">
        <v>243</v>
      </c>
      <c r="E302" s="48" t="s">
        <v>91</v>
      </c>
      <c r="F302" s="48" t="s">
        <v>459</v>
      </c>
      <c r="G302" s="48" t="s">
        <v>365</v>
      </c>
      <c r="H302" s="50" t="s">
        <v>170</v>
      </c>
      <c r="I302" s="51" t="str">
        <f t="shared" ref="I302:I309" si="130">IF(J302=0,"PENDIENTE",IF(J302="C","CORREO ENVIADO",IF(J302="OF","OFICIO EN FIRMA",IF(J302="PF","PLANOS EN FIRMA",IF(J302="OM","OFICIO MAQUINADO","ATENDIDO")))))</f>
        <v>ATENDIDO</v>
      </c>
      <c r="J302" s="61">
        <v>116</v>
      </c>
      <c r="K302" s="53">
        <v>42055</v>
      </c>
      <c r="L302" s="53">
        <v>42055</v>
      </c>
      <c r="M302" s="54">
        <v>1</v>
      </c>
      <c r="N302" s="55" t="s">
        <v>266</v>
      </c>
      <c r="O302" s="55"/>
      <c r="P302" s="54">
        <f t="shared" si="126"/>
        <v>3</v>
      </c>
      <c r="Q302" s="54">
        <v>1</v>
      </c>
      <c r="R302" s="60" t="s">
        <v>267</v>
      </c>
      <c r="S302" s="30"/>
      <c r="T302" s="33"/>
      <c r="U302" s="29"/>
      <c r="V302" s="33"/>
      <c r="W302" s="30"/>
    </row>
    <row r="303" spans="1:23" s="10" customFormat="1" ht="25.5">
      <c r="A303" s="48" t="s">
        <v>457</v>
      </c>
      <c r="B303" s="49">
        <v>42053</v>
      </c>
      <c r="C303" s="48" t="s">
        <v>16</v>
      </c>
      <c r="D303" s="48" t="s">
        <v>243</v>
      </c>
      <c r="E303" s="48" t="s">
        <v>89</v>
      </c>
      <c r="F303" s="48" t="s">
        <v>456</v>
      </c>
      <c r="G303" s="48" t="s">
        <v>365</v>
      </c>
      <c r="H303" s="50" t="s">
        <v>170</v>
      </c>
      <c r="I303" s="51" t="str">
        <f t="shared" si="130"/>
        <v>ATENDIDO</v>
      </c>
      <c r="J303" s="61">
        <v>119</v>
      </c>
      <c r="K303" s="53">
        <v>42060</v>
      </c>
      <c r="L303" s="53">
        <v>42060</v>
      </c>
      <c r="M303" s="54">
        <v>1</v>
      </c>
      <c r="N303" s="55" t="s">
        <v>266</v>
      </c>
      <c r="O303" s="55"/>
      <c r="P303" s="54">
        <f t="shared" si="126"/>
        <v>6</v>
      </c>
      <c r="Q303" s="54">
        <v>1</v>
      </c>
      <c r="R303" s="60" t="s">
        <v>267</v>
      </c>
      <c r="S303" s="30"/>
      <c r="T303" s="33"/>
      <c r="U303" s="29"/>
      <c r="V303" s="33"/>
      <c r="W303" s="30"/>
    </row>
    <row r="304" spans="1:23" s="10" customFormat="1" ht="25.5">
      <c r="A304" s="48" t="s">
        <v>455</v>
      </c>
      <c r="B304" s="49">
        <v>42053</v>
      </c>
      <c r="C304" s="48" t="s">
        <v>18</v>
      </c>
      <c r="D304" s="48" t="s">
        <v>243</v>
      </c>
      <c r="E304" s="48" t="s">
        <v>89</v>
      </c>
      <c r="F304" s="48" t="s">
        <v>456</v>
      </c>
      <c r="G304" s="48" t="s">
        <v>365</v>
      </c>
      <c r="H304" s="50" t="s">
        <v>170</v>
      </c>
      <c r="I304" s="51" t="str">
        <f t="shared" si="130"/>
        <v>ATENDIDO</v>
      </c>
      <c r="J304" s="61">
        <v>118</v>
      </c>
      <c r="K304" s="53">
        <v>42060</v>
      </c>
      <c r="L304" s="53">
        <v>42060</v>
      </c>
      <c r="M304" s="54">
        <v>1</v>
      </c>
      <c r="N304" s="55" t="s">
        <v>266</v>
      </c>
      <c r="O304" s="55"/>
      <c r="P304" s="54">
        <f t="shared" si="126"/>
        <v>6</v>
      </c>
      <c r="Q304" s="54">
        <v>1</v>
      </c>
      <c r="R304" s="60" t="s">
        <v>267</v>
      </c>
      <c r="S304" s="30"/>
      <c r="T304" s="33"/>
      <c r="U304" s="29"/>
      <c r="V304" s="33"/>
      <c r="W304" s="30"/>
    </row>
    <row r="305" spans="1:23" s="10" customFormat="1" ht="25.5">
      <c r="A305" s="48" t="s">
        <v>454</v>
      </c>
      <c r="B305" s="49">
        <v>42052</v>
      </c>
      <c r="C305" s="48" t="s">
        <v>18</v>
      </c>
      <c r="D305" s="48" t="s">
        <v>243</v>
      </c>
      <c r="E305" s="48" t="s">
        <v>94</v>
      </c>
      <c r="F305" s="48" t="s">
        <v>379</v>
      </c>
      <c r="G305" s="48" t="s">
        <v>365</v>
      </c>
      <c r="H305" s="50" t="s">
        <v>172</v>
      </c>
      <c r="I305" s="51" t="str">
        <f t="shared" si="130"/>
        <v>ATENDIDO</v>
      </c>
      <c r="J305" s="61">
        <v>115</v>
      </c>
      <c r="K305" s="53">
        <v>42058</v>
      </c>
      <c r="L305" s="53">
        <v>42058</v>
      </c>
      <c r="M305" s="54">
        <v>1</v>
      </c>
      <c r="N305" s="55" t="s">
        <v>266</v>
      </c>
      <c r="O305" s="55"/>
      <c r="P305" s="54">
        <f t="shared" si="126"/>
        <v>5</v>
      </c>
      <c r="Q305" s="54">
        <v>1</v>
      </c>
      <c r="R305" s="60" t="s">
        <v>267</v>
      </c>
      <c r="S305" s="30"/>
      <c r="T305" s="33"/>
      <c r="U305" s="29"/>
      <c r="V305" s="33"/>
      <c r="W305" s="30"/>
    </row>
    <row r="306" spans="1:23" s="10" customFormat="1" ht="23.25">
      <c r="A306" s="48" t="s">
        <v>450</v>
      </c>
      <c r="B306" s="49">
        <v>42048</v>
      </c>
      <c r="C306" s="48" t="s">
        <v>11</v>
      </c>
      <c r="D306" s="48" t="s">
        <v>243</v>
      </c>
      <c r="E306" s="48" t="s">
        <v>91</v>
      </c>
      <c r="F306" s="48" t="s">
        <v>451</v>
      </c>
      <c r="G306" s="48" t="s">
        <v>452</v>
      </c>
      <c r="H306" s="50" t="s">
        <v>170</v>
      </c>
      <c r="I306" s="51" t="str">
        <f t="shared" si="130"/>
        <v>ATENDIDO</v>
      </c>
      <c r="J306" s="61">
        <v>101</v>
      </c>
      <c r="K306" s="53">
        <v>42051</v>
      </c>
      <c r="L306" s="53">
        <v>42051</v>
      </c>
      <c r="M306" s="54">
        <v>1</v>
      </c>
      <c r="N306" s="55" t="s">
        <v>266</v>
      </c>
      <c r="O306" s="55"/>
      <c r="P306" s="54">
        <f t="shared" si="126"/>
        <v>2</v>
      </c>
      <c r="Q306" s="54">
        <v>1</v>
      </c>
      <c r="R306" s="60" t="s">
        <v>267</v>
      </c>
      <c r="S306" s="30"/>
      <c r="T306" s="33"/>
      <c r="U306" s="29"/>
      <c r="V306" s="33"/>
      <c r="W306" s="30"/>
    </row>
    <row r="307" spans="1:23" s="10" customFormat="1" ht="25.5">
      <c r="A307" s="48" t="s">
        <v>449</v>
      </c>
      <c r="B307" s="49">
        <v>42048</v>
      </c>
      <c r="C307" s="48" t="s">
        <v>12</v>
      </c>
      <c r="D307" s="48" t="s">
        <v>243</v>
      </c>
      <c r="E307" s="48" t="s">
        <v>94</v>
      </c>
      <c r="F307" s="48" t="s">
        <v>379</v>
      </c>
      <c r="G307" s="48" t="s">
        <v>365</v>
      </c>
      <c r="H307" s="50" t="s">
        <v>170</v>
      </c>
      <c r="I307" s="51" t="str">
        <f t="shared" si="130"/>
        <v>ATENDIDO</v>
      </c>
      <c r="J307" s="61">
        <v>107</v>
      </c>
      <c r="K307" s="53">
        <v>42053</v>
      </c>
      <c r="L307" s="53">
        <v>42053</v>
      </c>
      <c r="M307" s="54">
        <v>1</v>
      </c>
      <c r="N307" s="55" t="s">
        <v>266</v>
      </c>
      <c r="O307" s="55"/>
      <c r="P307" s="54">
        <f t="shared" si="126"/>
        <v>4</v>
      </c>
      <c r="Q307" s="54">
        <v>1</v>
      </c>
      <c r="R307" s="60" t="s">
        <v>267</v>
      </c>
      <c r="S307" s="30"/>
      <c r="T307" s="33"/>
      <c r="U307" s="29"/>
      <c r="V307" s="33"/>
      <c r="W307" s="30"/>
    </row>
    <row r="308" spans="1:23" s="10" customFormat="1" ht="25.5">
      <c r="A308" s="48" t="s">
        <v>448</v>
      </c>
      <c r="B308" s="49">
        <v>42048</v>
      </c>
      <c r="C308" s="48" t="s">
        <v>12</v>
      </c>
      <c r="D308" s="48" t="s">
        <v>243</v>
      </c>
      <c r="E308" s="48" t="s">
        <v>94</v>
      </c>
      <c r="F308" s="48" t="s">
        <v>379</v>
      </c>
      <c r="G308" s="48" t="s">
        <v>365</v>
      </c>
      <c r="H308" s="50" t="s">
        <v>170</v>
      </c>
      <c r="I308" s="51" t="str">
        <f t="shared" si="130"/>
        <v>ATENDIDO</v>
      </c>
      <c r="J308" s="61">
        <v>114</v>
      </c>
      <c r="K308" s="53">
        <v>42059</v>
      </c>
      <c r="L308" s="53">
        <v>42059</v>
      </c>
      <c r="M308" s="54">
        <v>1</v>
      </c>
      <c r="N308" s="55" t="s">
        <v>266</v>
      </c>
      <c r="O308" s="55"/>
      <c r="P308" s="54">
        <f t="shared" si="126"/>
        <v>8</v>
      </c>
      <c r="Q308" s="54">
        <v>1</v>
      </c>
      <c r="R308" s="60" t="s">
        <v>267</v>
      </c>
      <c r="S308" s="30"/>
      <c r="T308" s="33"/>
      <c r="U308" s="29"/>
      <c r="V308" s="33"/>
      <c r="W308" s="30"/>
    </row>
    <row r="309" spans="1:23" s="10" customFormat="1" ht="25.5">
      <c r="A309" s="48" t="s">
        <v>447</v>
      </c>
      <c r="B309" s="49">
        <v>42048</v>
      </c>
      <c r="C309" s="48" t="s">
        <v>12</v>
      </c>
      <c r="D309" s="48" t="s">
        <v>243</v>
      </c>
      <c r="E309" s="48" t="s">
        <v>94</v>
      </c>
      <c r="F309" s="48" t="s">
        <v>379</v>
      </c>
      <c r="G309" s="48" t="s">
        <v>365</v>
      </c>
      <c r="H309" s="50" t="s">
        <v>170</v>
      </c>
      <c r="I309" s="51" t="str">
        <f t="shared" si="130"/>
        <v>ATENDIDO</v>
      </c>
      <c r="J309" s="61">
        <v>105</v>
      </c>
      <c r="K309" s="53">
        <v>42052</v>
      </c>
      <c r="L309" s="53">
        <v>42052</v>
      </c>
      <c r="M309" s="54">
        <v>1</v>
      </c>
      <c r="N309" s="55" t="s">
        <v>266</v>
      </c>
      <c r="O309" s="55"/>
      <c r="P309" s="54">
        <f t="shared" si="126"/>
        <v>3</v>
      </c>
      <c r="Q309" s="54">
        <v>1</v>
      </c>
      <c r="R309" s="60" t="s">
        <v>267</v>
      </c>
      <c r="S309" s="30"/>
      <c r="T309" s="33"/>
      <c r="U309" s="29"/>
      <c r="V309" s="33"/>
      <c r="W309" s="30"/>
    </row>
    <row r="310" spans="1:23" s="10" customFormat="1" ht="25.5">
      <c r="A310" s="48" t="s">
        <v>446</v>
      </c>
      <c r="B310" s="49">
        <v>42048</v>
      </c>
      <c r="C310" s="48" t="s">
        <v>25</v>
      </c>
      <c r="D310" s="48" t="s">
        <v>243</v>
      </c>
      <c r="E310" s="48" t="s">
        <v>71</v>
      </c>
      <c r="F310" s="48" t="s">
        <v>399</v>
      </c>
      <c r="G310" s="48" t="s">
        <v>365</v>
      </c>
      <c r="H310" s="50" t="s">
        <v>341</v>
      </c>
      <c r="I310" s="51" t="str">
        <f t="shared" ref="I310:I320" si="131">IF(J310=0,"PENDIENTE",IF(J310="C","CORREO ENVIADO",IF(J310="OF","OFICIO EN FIRMA",IF(J310="PF","PLANOS EN FIRMA",IF(J310="OM","OFICIO MAQUINADO","ATENDIDO")))))</f>
        <v>ATENDIDO</v>
      </c>
      <c r="J310" s="61">
        <v>128</v>
      </c>
      <c r="K310" s="53">
        <v>42062</v>
      </c>
      <c r="L310" s="53">
        <v>42062</v>
      </c>
      <c r="M310" s="54">
        <v>1</v>
      </c>
      <c r="N310" s="55" t="s">
        <v>266</v>
      </c>
      <c r="O310" s="55"/>
      <c r="P310" s="54">
        <f t="shared" si="126"/>
        <v>11</v>
      </c>
      <c r="Q310" s="54">
        <v>1</v>
      </c>
      <c r="R310" s="60" t="s">
        <v>267</v>
      </c>
      <c r="S310" s="30"/>
      <c r="T310" s="33"/>
      <c r="U310" s="29"/>
      <c r="V310" s="33"/>
      <c r="W310" s="30"/>
    </row>
    <row r="311" spans="1:23" s="10" customFormat="1" ht="25.5">
      <c r="A311" s="48" t="s">
        <v>445</v>
      </c>
      <c r="B311" s="49">
        <v>42048</v>
      </c>
      <c r="C311" s="48" t="s">
        <v>25</v>
      </c>
      <c r="D311" s="48" t="s">
        <v>243</v>
      </c>
      <c r="E311" s="48" t="s">
        <v>71</v>
      </c>
      <c r="F311" s="48" t="s">
        <v>399</v>
      </c>
      <c r="G311" s="48" t="s">
        <v>365</v>
      </c>
      <c r="H311" s="50" t="s">
        <v>341</v>
      </c>
      <c r="I311" s="51" t="str">
        <f t="shared" si="131"/>
        <v>ATENDIDO</v>
      </c>
      <c r="J311" s="61">
        <v>128</v>
      </c>
      <c r="K311" s="53">
        <v>42062</v>
      </c>
      <c r="L311" s="53">
        <v>42062</v>
      </c>
      <c r="M311" s="54">
        <v>1</v>
      </c>
      <c r="N311" s="55" t="s">
        <v>266</v>
      </c>
      <c r="O311" s="55"/>
      <c r="P311" s="54">
        <f t="shared" si="126"/>
        <v>11</v>
      </c>
      <c r="Q311" s="54">
        <v>1</v>
      </c>
      <c r="R311" s="60" t="s">
        <v>267</v>
      </c>
      <c r="S311" s="30"/>
      <c r="T311" s="33"/>
      <c r="U311" s="29"/>
      <c r="V311" s="33"/>
      <c r="W311" s="30"/>
    </row>
    <row r="312" spans="1:23" s="10" customFormat="1" ht="25.5">
      <c r="A312" s="48" t="s">
        <v>444</v>
      </c>
      <c r="B312" s="49">
        <v>42048</v>
      </c>
      <c r="C312" s="48" t="s">
        <v>25</v>
      </c>
      <c r="D312" s="48" t="s">
        <v>243</v>
      </c>
      <c r="E312" s="48" t="s">
        <v>71</v>
      </c>
      <c r="F312" s="48" t="s">
        <v>399</v>
      </c>
      <c r="G312" s="48" t="s">
        <v>365</v>
      </c>
      <c r="H312" s="50" t="s">
        <v>341</v>
      </c>
      <c r="I312" s="51" t="str">
        <f t="shared" si="131"/>
        <v>ATENDIDO</v>
      </c>
      <c r="J312" s="61">
        <v>129</v>
      </c>
      <c r="K312" s="53">
        <v>42062</v>
      </c>
      <c r="L312" s="53">
        <v>42062</v>
      </c>
      <c r="M312" s="54">
        <v>1</v>
      </c>
      <c r="N312" s="55" t="s">
        <v>266</v>
      </c>
      <c r="O312" s="55"/>
      <c r="P312" s="54">
        <f t="shared" si="126"/>
        <v>11</v>
      </c>
      <c r="Q312" s="54">
        <v>1</v>
      </c>
      <c r="R312" s="60" t="s">
        <v>267</v>
      </c>
      <c r="S312" s="30"/>
      <c r="T312" s="33"/>
      <c r="U312" s="29"/>
      <c r="V312" s="33"/>
      <c r="W312" s="30"/>
    </row>
    <row r="313" spans="1:23" s="10" customFormat="1" ht="25.5">
      <c r="A313" s="48" t="s">
        <v>443</v>
      </c>
      <c r="B313" s="49">
        <v>42048</v>
      </c>
      <c r="C313" s="48" t="s">
        <v>25</v>
      </c>
      <c r="D313" s="48" t="s">
        <v>243</v>
      </c>
      <c r="E313" s="48" t="s">
        <v>71</v>
      </c>
      <c r="F313" s="48" t="s">
        <v>399</v>
      </c>
      <c r="G313" s="48" t="s">
        <v>365</v>
      </c>
      <c r="H313" s="50" t="s">
        <v>341</v>
      </c>
      <c r="I313" s="51" t="str">
        <f t="shared" si="131"/>
        <v>ATENDIDO</v>
      </c>
      <c r="J313" s="61">
        <v>129</v>
      </c>
      <c r="K313" s="53">
        <v>42062</v>
      </c>
      <c r="L313" s="53">
        <v>42062</v>
      </c>
      <c r="M313" s="54">
        <v>1</v>
      </c>
      <c r="N313" s="55" t="s">
        <v>266</v>
      </c>
      <c r="O313" s="55"/>
      <c r="P313" s="54">
        <f t="shared" si="126"/>
        <v>11</v>
      </c>
      <c r="Q313" s="54">
        <v>1</v>
      </c>
      <c r="R313" s="60" t="s">
        <v>267</v>
      </c>
      <c r="S313" s="30"/>
      <c r="T313" s="33"/>
      <c r="U313" s="29"/>
      <c r="V313" s="33"/>
      <c r="W313" s="30"/>
    </row>
    <row r="314" spans="1:23" s="10" customFormat="1" ht="25.5">
      <c r="A314" s="48" t="s">
        <v>442</v>
      </c>
      <c r="B314" s="49">
        <v>42048</v>
      </c>
      <c r="C314" s="48" t="s">
        <v>25</v>
      </c>
      <c r="D314" s="48" t="s">
        <v>243</v>
      </c>
      <c r="E314" s="48" t="s">
        <v>71</v>
      </c>
      <c r="F314" s="48" t="s">
        <v>399</v>
      </c>
      <c r="G314" s="48" t="s">
        <v>365</v>
      </c>
      <c r="H314" s="50" t="s">
        <v>341</v>
      </c>
      <c r="I314" s="51" t="str">
        <f t="shared" si="131"/>
        <v>ATENDIDO</v>
      </c>
      <c r="J314" s="61">
        <v>130</v>
      </c>
      <c r="K314" s="53">
        <v>42062</v>
      </c>
      <c r="L314" s="53">
        <v>42062</v>
      </c>
      <c r="M314" s="54">
        <v>1</v>
      </c>
      <c r="N314" s="55" t="s">
        <v>266</v>
      </c>
      <c r="O314" s="55"/>
      <c r="P314" s="54">
        <f t="shared" si="126"/>
        <v>11</v>
      </c>
      <c r="Q314" s="54">
        <v>1</v>
      </c>
      <c r="R314" s="60" t="s">
        <v>267</v>
      </c>
      <c r="S314" s="30"/>
      <c r="T314" s="33"/>
      <c r="U314" s="29"/>
      <c r="V314" s="33"/>
      <c r="W314" s="30"/>
    </row>
    <row r="315" spans="1:23" s="10" customFormat="1" ht="25.5">
      <c r="A315" s="48" t="s">
        <v>441</v>
      </c>
      <c r="B315" s="49">
        <v>42048</v>
      </c>
      <c r="C315" s="48" t="s">
        <v>25</v>
      </c>
      <c r="D315" s="48" t="s">
        <v>243</v>
      </c>
      <c r="E315" s="48" t="s">
        <v>71</v>
      </c>
      <c r="F315" s="48" t="s">
        <v>399</v>
      </c>
      <c r="G315" s="48" t="s">
        <v>365</v>
      </c>
      <c r="H315" s="50" t="s">
        <v>341</v>
      </c>
      <c r="I315" s="51" t="str">
        <f t="shared" si="131"/>
        <v>ATENDIDO</v>
      </c>
      <c r="J315" s="61">
        <v>130</v>
      </c>
      <c r="K315" s="53">
        <v>42062</v>
      </c>
      <c r="L315" s="53">
        <v>42062</v>
      </c>
      <c r="M315" s="54">
        <v>1</v>
      </c>
      <c r="N315" s="55" t="s">
        <v>266</v>
      </c>
      <c r="O315" s="55"/>
      <c r="P315" s="54">
        <f t="shared" si="126"/>
        <v>11</v>
      </c>
      <c r="Q315" s="54">
        <v>1</v>
      </c>
      <c r="R315" s="60" t="s">
        <v>267</v>
      </c>
      <c r="S315" s="30"/>
      <c r="T315" s="33"/>
      <c r="U315" s="29"/>
      <c r="V315" s="33"/>
      <c r="W315" s="30"/>
    </row>
    <row r="316" spans="1:23" s="10" customFormat="1" ht="25.5">
      <c r="A316" s="48" t="s">
        <v>440</v>
      </c>
      <c r="B316" s="49">
        <v>42046</v>
      </c>
      <c r="C316" s="48" t="s">
        <v>12</v>
      </c>
      <c r="D316" s="48" t="s">
        <v>243</v>
      </c>
      <c r="E316" s="48" t="s">
        <v>94</v>
      </c>
      <c r="F316" s="48" t="s">
        <v>379</v>
      </c>
      <c r="G316" s="48" t="s">
        <v>365</v>
      </c>
      <c r="H316" s="50" t="s">
        <v>341</v>
      </c>
      <c r="I316" s="51" t="str">
        <f t="shared" si="131"/>
        <v>ATENDIDO</v>
      </c>
      <c r="J316" s="61">
        <v>113</v>
      </c>
      <c r="K316" s="53">
        <v>42059</v>
      </c>
      <c r="L316" s="53">
        <v>42059</v>
      </c>
      <c r="M316" s="54">
        <v>1</v>
      </c>
      <c r="N316" s="55" t="s">
        <v>266</v>
      </c>
      <c r="O316" s="55"/>
      <c r="P316" s="54">
        <f t="shared" si="126"/>
        <v>10</v>
      </c>
      <c r="Q316" s="54">
        <v>1</v>
      </c>
      <c r="R316" s="60" t="s">
        <v>267</v>
      </c>
      <c r="S316" s="30"/>
      <c r="T316" s="33"/>
      <c r="U316" s="29"/>
      <c r="V316" s="33"/>
      <c r="W316" s="30"/>
    </row>
    <row r="317" spans="1:23" s="10" customFormat="1" ht="23.25">
      <c r="A317" s="48" t="s">
        <v>437</v>
      </c>
      <c r="B317" s="49">
        <v>42046</v>
      </c>
      <c r="C317" s="48" t="s">
        <v>29</v>
      </c>
      <c r="D317" s="48" t="s">
        <v>243</v>
      </c>
      <c r="E317" s="48" t="s">
        <v>129</v>
      </c>
      <c r="F317" s="48" t="s">
        <v>438</v>
      </c>
      <c r="G317" s="48" t="s">
        <v>439</v>
      </c>
      <c r="H317" s="50" t="s">
        <v>170</v>
      </c>
      <c r="I317" s="51" t="str">
        <f t="shared" si="131"/>
        <v>ATENDIDO</v>
      </c>
      <c r="J317" s="61">
        <v>112</v>
      </c>
      <c r="K317" s="53">
        <v>42058</v>
      </c>
      <c r="L317" s="53">
        <v>42058</v>
      </c>
      <c r="M317" s="54">
        <v>1</v>
      </c>
      <c r="N317" s="55" t="s">
        <v>266</v>
      </c>
      <c r="O317" s="55"/>
      <c r="P317" s="54">
        <f t="shared" si="126"/>
        <v>9</v>
      </c>
      <c r="Q317" s="54">
        <v>1</v>
      </c>
      <c r="R317" s="60" t="s">
        <v>267</v>
      </c>
      <c r="S317" s="30"/>
      <c r="T317" s="33"/>
      <c r="U317" s="29"/>
      <c r="V317" s="33"/>
      <c r="W317" s="30"/>
    </row>
    <row r="318" spans="1:23" s="10" customFormat="1" ht="23.25">
      <c r="A318" s="48" t="s">
        <v>434</v>
      </c>
      <c r="B318" s="49">
        <v>42044</v>
      </c>
      <c r="C318" s="48" t="s">
        <v>65</v>
      </c>
      <c r="D318" s="48" t="s">
        <v>243</v>
      </c>
      <c r="E318" s="48" t="s">
        <v>283</v>
      </c>
      <c r="F318" s="48" t="s">
        <v>435</v>
      </c>
      <c r="G318" s="48" t="s">
        <v>397</v>
      </c>
      <c r="H318" s="50" t="s">
        <v>170</v>
      </c>
      <c r="I318" s="51" t="str">
        <f t="shared" si="131"/>
        <v>ATENDIDO</v>
      </c>
      <c r="J318" s="61" t="s">
        <v>408</v>
      </c>
      <c r="K318" s="53">
        <v>42046</v>
      </c>
      <c r="L318" s="53">
        <v>42046</v>
      </c>
      <c r="M318" s="54">
        <v>1</v>
      </c>
      <c r="N318" s="55" t="s">
        <v>266</v>
      </c>
      <c r="O318" s="55"/>
      <c r="P318" s="54">
        <f t="shared" si="126"/>
        <v>3</v>
      </c>
      <c r="Q318" s="54">
        <v>1</v>
      </c>
      <c r="R318" s="60" t="s">
        <v>267</v>
      </c>
      <c r="S318" s="30"/>
      <c r="T318" s="33"/>
      <c r="U318" s="29"/>
      <c r="V318" s="33"/>
      <c r="W318" s="30"/>
    </row>
    <row r="319" spans="1:23" s="10" customFormat="1" ht="23.25">
      <c r="A319" s="48" t="s">
        <v>432</v>
      </c>
      <c r="B319" s="49">
        <v>42040</v>
      </c>
      <c r="C319" s="48" t="s">
        <v>23</v>
      </c>
      <c r="D319" s="48" t="s">
        <v>243</v>
      </c>
      <c r="E319" s="48" t="s">
        <v>89</v>
      </c>
      <c r="F319" s="48" t="s">
        <v>427</v>
      </c>
      <c r="G319" s="48" t="s">
        <v>430</v>
      </c>
      <c r="H319" s="50" t="s">
        <v>341</v>
      </c>
      <c r="I319" s="51" t="str">
        <f t="shared" si="131"/>
        <v>ATENDIDO</v>
      </c>
      <c r="J319" s="61">
        <v>110</v>
      </c>
      <c r="K319" s="53">
        <v>42055</v>
      </c>
      <c r="L319" s="53">
        <v>42055</v>
      </c>
      <c r="M319" s="54">
        <v>1</v>
      </c>
      <c r="N319" s="55" t="s">
        <v>266</v>
      </c>
      <c r="O319" s="55"/>
      <c r="P319" s="54">
        <f t="shared" si="126"/>
        <v>12</v>
      </c>
      <c r="Q319" s="54">
        <v>1</v>
      </c>
      <c r="R319" s="60" t="s">
        <v>267</v>
      </c>
      <c r="S319" s="30"/>
      <c r="T319" s="33"/>
      <c r="U319" s="29"/>
      <c r="V319" s="33"/>
      <c r="W319" s="30"/>
    </row>
    <row r="320" spans="1:23" s="10" customFormat="1" ht="23.25">
      <c r="A320" s="48" t="s">
        <v>431</v>
      </c>
      <c r="B320" s="49">
        <v>42040</v>
      </c>
      <c r="C320" s="48" t="s">
        <v>23</v>
      </c>
      <c r="D320" s="48" t="s">
        <v>243</v>
      </c>
      <c r="E320" s="48" t="s">
        <v>89</v>
      </c>
      <c r="F320" s="48" t="s">
        <v>427</v>
      </c>
      <c r="G320" s="48" t="s">
        <v>430</v>
      </c>
      <c r="H320" s="50" t="s">
        <v>341</v>
      </c>
      <c r="I320" s="51" t="str">
        <f t="shared" si="131"/>
        <v>ATENDIDO</v>
      </c>
      <c r="J320" s="61">
        <v>109</v>
      </c>
      <c r="K320" s="53">
        <v>42055</v>
      </c>
      <c r="L320" s="53">
        <v>42055</v>
      </c>
      <c r="M320" s="54">
        <v>1</v>
      </c>
      <c r="N320" s="55" t="s">
        <v>266</v>
      </c>
      <c r="O320" s="55"/>
      <c r="P320" s="54">
        <f t="shared" si="126"/>
        <v>12</v>
      </c>
      <c r="Q320" s="54">
        <v>1</v>
      </c>
      <c r="R320" s="60" t="s">
        <v>267</v>
      </c>
      <c r="S320" s="30"/>
      <c r="T320" s="33"/>
      <c r="U320" s="29"/>
      <c r="V320" s="33"/>
      <c r="W320" s="30"/>
    </row>
    <row r="321" spans="1:23" s="10" customFormat="1" ht="23.25">
      <c r="A321" s="48" t="s">
        <v>429</v>
      </c>
      <c r="B321" s="49">
        <v>42040</v>
      </c>
      <c r="C321" s="48" t="s">
        <v>303</v>
      </c>
      <c r="D321" s="48" t="s">
        <v>243</v>
      </c>
      <c r="E321" s="48" t="s">
        <v>89</v>
      </c>
      <c r="F321" s="48" t="s">
        <v>427</v>
      </c>
      <c r="G321" s="48" t="s">
        <v>430</v>
      </c>
      <c r="H321" s="50" t="s">
        <v>341</v>
      </c>
      <c r="I321" s="51" t="str">
        <f t="shared" ref="I321:I327" si="132">IF(J321=0,"PENDIENTE",IF(J321="C","CORREO ENVIADO",IF(J321="OF","OFICIO EN FIRMA",IF(J321="PF","PLANOS EN FIRMA",IF(J321="OM","OFICIO MAQUINADO","ATENDIDO")))))</f>
        <v>ATENDIDO</v>
      </c>
      <c r="J321" s="61">
        <v>108</v>
      </c>
      <c r="K321" s="53">
        <v>42055</v>
      </c>
      <c r="L321" s="53">
        <v>42055</v>
      </c>
      <c r="M321" s="54">
        <v>1</v>
      </c>
      <c r="N321" s="55" t="s">
        <v>266</v>
      </c>
      <c r="O321" s="63"/>
      <c r="P321" s="54">
        <f t="shared" si="126"/>
        <v>12</v>
      </c>
      <c r="Q321" s="54">
        <v>1</v>
      </c>
      <c r="R321" s="60" t="s">
        <v>267</v>
      </c>
      <c r="S321" s="30"/>
      <c r="T321" s="33"/>
      <c r="U321" s="29"/>
      <c r="V321" s="33"/>
      <c r="W321" s="30"/>
    </row>
    <row r="322" spans="1:23" s="10" customFormat="1" ht="23.25">
      <c r="A322" s="48" t="s">
        <v>428</v>
      </c>
      <c r="B322" s="49">
        <v>42040</v>
      </c>
      <c r="C322" s="48" t="s">
        <v>24</v>
      </c>
      <c r="D322" s="48" t="s">
        <v>243</v>
      </c>
      <c r="E322" s="48" t="s">
        <v>89</v>
      </c>
      <c r="F322" s="48" t="s">
        <v>427</v>
      </c>
      <c r="G322" s="48" t="s">
        <v>365</v>
      </c>
      <c r="H322" s="50" t="s">
        <v>341</v>
      </c>
      <c r="I322" s="51" t="str">
        <f t="shared" si="132"/>
        <v>ATENDIDO</v>
      </c>
      <c r="J322" s="61">
        <v>88</v>
      </c>
      <c r="K322" s="53">
        <v>42047</v>
      </c>
      <c r="L322" s="53">
        <v>42047</v>
      </c>
      <c r="M322" s="54">
        <v>1</v>
      </c>
      <c r="N322" s="55" t="s">
        <v>266</v>
      </c>
      <c r="O322" s="63"/>
      <c r="P322" s="54">
        <f t="shared" si="126"/>
        <v>6</v>
      </c>
      <c r="Q322" s="54">
        <v>1</v>
      </c>
      <c r="R322" s="60" t="s">
        <v>267</v>
      </c>
      <c r="S322" s="30"/>
      <c r="T322" s="33"/>
      <c r="U322" s="29"/>
      <c r="V322" s="33"/>
      <c r="W322" s="30"/>
    </row>
    <row r="323" spans="1:23" s="10" customFormat="1" ht="23.25">
      <c r="A323" s="48" t="s">
        <v>426</v>
      </c>
      <c r="B323" s="49">
        <v>42040</v>
      </c>
      <c r="C323" s="48" t="s">
        <v>18</v>
      </c>
      <c r="D323" s="48" t="s">
        <v>243</v>
      </c>
      <c r="E323" s="48" t="s">
        <v>89</v>
      </c>
      <c r="F323" s="48" t="s">
        <v>427</v>
      </c>
      <c r="G323" s="48" t="s">
        <v>365</v>
      </c>
      <c r="H323" s="50" t="s">
        <v>170</v>
      </c>
      <c r="I323" s="51" t="str">
        <f t="shared" si="132"/>
        <v>ATENDIDO</v>
      </c>
      <c r="J323" s="61">
        <v>82</v>
      </c>
      <c r="K323" s="53">
        <v>42044</v>
      </c>
      <c r="L323" s="53">
        <v>42044</v>
      </c>
      <c r="M323" s="54">
        <v>1</v>
      </c>
      <c r="N323" s="55" t="s">
        <v>266</v>
      </c>
      <c r="O323" s="63"/>
      <c r="P323" s="54">
        <f t="shared" si="126"/>
        <v>3</v>
      </c>
      <c r="Q323" s="54">
        <v>1</v>
      </c>
      <c r="R323" s="60" t="s">
        <v>267</v>
      </c>
      <c r="S323" s="30"/>
      <c r="T323" s="33"/>
      <c r="U323" s="29"/>
      <c r="V323" s="33"/>
      <c r="W323" s="30"/>
    </row>
    <row r="324" spans="1:23" s="10" customFormat="1" ht="25.5">
      <c r="A324" s="48" t="s">
        <v>425</v>
      </c>
      <c r="B324" s="49">
        <v>42039</v>
      </c>
      <c r="C324" s="48" t="s">
        <v>36</v>
      </c>
      <c r="D324" s="48" t="s">
        <v>243</v>
      </c>
      <c r="E324" s="48" t="s">
        <v>81</v>
      </c>
      <c r="F324" s="48" t="s">
        <v>423</v>
      </c>
      <c r="G324" s="48" t="s">
        <v>424</v>
      </c>
      <c r="H324" s="50" t="s">
        <v>341</v>
      </c>
      <c r="I324" s="51" t="str">
        <f t="shared" si="132"/>
        <v>ATENDIDO</v>
      </c>
      <c r="J324" s="61">
        <v>89</v>
      </c>
      <c r="K324" s="53">
        <v>42046</v>
      </c>
      <c r="L324" s="53">
        <v>42046</v>
      </c>
      <c r="M324" s="54">
        <v>1</v>
      </c>
      <c r="N324" s="55" t="s">
        <v>266</v>
      </c>
      <c r="O324" s="63"/>
      <c r="P324" s="54">
        <f t="shared" si="126"/>
        <v>6</v>
      </c>
      <c r="Q324" s="54">
        <v>1</v>
      </c>
      <c r="R324" s="60" t="s">
        <v>267</v>
      </c>
      <c r="S324" s="30"/>
      <c r="T324" s="33"/>
      <c r="U324" s="29"/>
      <c r="V324" s="33"/>
      <c r="W324" s="30"/>
    </row>
    <row r="325" spans="1:23" s="10" customFormat="1" ht="25.5">
      <c r="A325" s="48" t="s">
        <v>422</v>
      </c>
      <c r="B325" s="49">
        <v>42039</v>
      </c>
      <c r="C325" s="48" t="s">
        <v>36</v>
      </c>
      <c r="D325" s="48" t="s">
        <v>243</v>
      </c>
      <c r="E325" s="48" t="s">
        <v>81</v>
      </c>
      <c r="F325" s="48" t="s">
        <v>423</v>
      </c>
      <c r="G325" s="48" t="s">
        <v>424</v>
      </c>
      <c r="H325" s="50" t="s">
        <v>341</v>
      </c>
      <c r="I325" s="51" t="str">
        <f t="shared" si="132"/>
        <v>ATENDIDO</v>
      </c>
      <c r="J325" s="61">
        <v>87</v>
      </c>
      <c r="K325" s="53">
        <v>42046</v>
      </c>
      <c r="L325" s="53">
        <v>42046</v>
      </c>
      <c r="M325" s="54">
        <v>1</v>
      </c>
      <c r="N325" s="55" t="s">
        <v>266</v>
      </c>
      <c r="O325" s="63"/>
      <c r="P325" s="54">
        <f t="shared" si="126"/>
        <v>6</v>
      </c>
      <c r="Q325" s="54">
        <v>1</v>
      </c>
      <c r="R325" s="60" t="s">
        <v>267</v>
      </c>
      <c r="S325" s="30"/>
      <c r="T325" s="33"/>
      <c r="U325" s="29"/>
      <c r="V325" s="33"/>
      <c r="W325" s="30"/>
    </row>
    <row r="326" spans="1:23" s="10" customFormat="1" ht="25.5">
      <c r="A326" s="48" t="s">
        <v>420</v>
      </c>
      <c r="B326" s="49">
        <v>42038</v>
      </c>
      <c r="C326" s="48" t="s">
        <v>13</v>
      </c>
      <c r="D326" s="48" t="s">
        <v>243</v>
      </c>
      <c r="E326" s="48" t="s">
        <v>76</v>
      </c>
      <c r="F326" s="48" t="s">
        <v>421</v>
      </c>
      <c r="G326" s="48" t="s">
        <v>365</v>
      </c>
      <c r="H326" s="50" t="s">
        <v>170</v>
      </c>
      <c r="I326" s="51" t="str">
        <f t="shared" si="132"/>
        <v>ATENDIDO</v>
      </c>
      <c r="J326" s="61" t="s">
        <v>408</v>
      </c>
      <c r="K326" s="53">
        <v>42039</v>
      </c>
      <c r="L326" s="53">
        <v>42039</v>
      </c>
      <c r="M326" s="54">
        <v>1</v>
      </c>
      <c r="N326" s="55" t="s">
        <v>266</v>
      </c>
      <c r="O326" s="62"/>
      <c r="P326" s="54">
        <f t="shared" si="126"/>
        <v>2</v>
      </c>
      <c r="Q326" s="54">
        <v>1</v>
      </c>
      <c r="R326" s="60" t="s">
        <v>267</v>
      </c>
      <c r="S326" s="30"/>
      <c r="T326" s="33"/>
      <c r="U326" s="29"/>
      <c r="V326" s="33"/>
      <c r="W326" s="30"/>
    </row>
    <row r="327" spans="1:23" s="10" customFormat="1" ht="25.5">
      <c r="A327" s="48" t="s">
        <v>417</v>
      </c>
      <c r="B327" s="49">
        <v>42038</v>
      </c>
      <c r="C327" s="48" t="s">
        <v>26</v>
      </c>
      <c r="D327" s="48" t="s">
        <v>243</v>
      </c>
      <c r="E327" s="48" t="s">
        <v>96</v>
      </c>
      <c r="F327" s="48" t="s">
        <v>418</v>
      </c>
      <c r="G327" s="48" t="s">
        <v>419</v>
      </c>
      <c r="H327" s="50" t="s">
        <v>170</v>
      </c>
      <c r="I327" s="51" t="str">
        <f t="shared" si="132"/>
        <v>ATENDIDO</v>
      </c>
      <c r="J327" s="61" t="s">
        <v>408</v>
      </c>
      <c r="K327" s="53">
        <v>42044</v>
      </c>
      <c r="L327" s="53">
        <v>42044</v>
      </c>
      <c r="M327" s="54">
        <v>1</v>
      </c>
      <c r="N327" s="55" t="s">
        <v>266</v>
      </c>
      <c r="O327" s="55"/>
      <c r="P327" s="54">
        <f t="shared" si="126"/>
        <v>5</v>
      </c>
      <c r="Q327" s="54">
        <v>1</v>
      </c>
      <c r="R327" s="60" t="s">
        <v>267</v>
      </c>
      <c r="S327" s="30"/>
      <c r="T327" s="33"/>
      <c r="U327" s="29"/>
      <c r="V327" s="33"/>
      <c r="W327" s="30"/>
    </row>
    <row r="328" spans="1:23" s="10" customFormat="1" ht="25.5">
      <c r="A328" s="48" t="s">
        <v>416</v>
      </c>
      <c r="B328" s="49">
        <v>42034</v>
      </c>
      <c r="C328" s="48" t="s">
        <v>12</v>
      </c>
      <c r="D328" s="48" t="s">
        <v>243</v>
      </c>
      <c r="E328" s="48" t="s">
        <v>95</v>
      </c>
      <c r="F328" s="48" t="s">
        <v>396</v>
      </c>
      <c r="G328" s="48" t="s">
        <v>397</v>
      </c>
      <c r="H328" s="50" t="s">
        <v>341</v>
      </c>
      <c r="I328" s="51" t="str">
        <f t="shared" ref="I328:I333" si="133">IF(J328=0,"PENDIENTE",IF(J328="C","CORREO ENVIADO",IF(J328="OF","OFICIO EN FIRMA",IF(J328="PF","PLANOS EN FIRMA",IF(J328="OM","OFICIO MAQUINADO","ATENDIDO")))))</f>
        <v>ATENDIDO</v>
      </c>
      <c r="J328" s="61">
        <v>81</v>
      </c>
      <c r="K328" s="53">
        <v>42044</v>
      </c>
      <c r="L328" s="53">
        <v>42044</v>
      </c>
      <c r="M328" s="54">
        <v>1</v>
      </c>
      <c r="N328" s="55" t="s">
        <v>266</v>
      </c>
      <c r="O328" s="55"/>
      <c r="P328" s="54">
        <f t="shared" si="126"/>
        <v>7</v>
      </c>
      <c r="Q328" s="54">
        <v>1</v>
      </c>
      <c r="R328" s="60" t="s">
        <v>267</v>
      </c>
      <c r="S328" s="30"/>
      <c r="T328" s="33"/>
      <c r="U328" s="29"/>
      <c r="V328" s="33"/>
      <c r="W328" s="30"/>
    </row>
    <row r="329" spans="1:23" s="10" customFormat="1" ht="25.5">
      <c r="A329" s="48" t="s">
        <v>415</v>
      </c>
      <c r="B329" s="49">
        <v>42032</v>
      </c>
      <c r="C329" s="48" t="s">
        <v>12</v>
      </c>
      <c r="D329" s="48" t="s">
        <v>243</v>
      </c>
      <c r="E329" s="48" t="s">
        <v>76</v>
      </c>
      <c r="F329" s="48" t="s">
        <v>407</v>
      </c>
      <c r="G329" s="48" t="s">
        <v>365</v>
      </c>
      <c r="H329" s="50" t="s">
        <v>172</v>
      </c>
      <c r="I329" s="51" t="str">
        <f t="shared" si="133"/>
        <v>ATENDIDO</v>
      </c>
      <c r="J329" s="61">
        <v>97</v>
      </c>
      <c r="K329" s="53">
        <v>42041</v>
      </c>
      <c r="L329" s="53">
        <v>42041</v>
      </c>
      <c r="M329" s="54">
        <v>1</v>
      </c>
      <c r="N329" s="55" t="s">
        <v>266</v>
      </c>
      <c r="O329" s="55"/>
      <c r="P329" s="54">
        <f t="shared" si="126"/>
        <v>8</v>
      </c>
      <c r="Q329" s="54">
        <v>1</v>
      </c>
      <c r="R329" s="60" t="s">
        <v>267</v>
      </c>
      <c r="S329" s="30"/>
      <c r="T329" s="33"/>
      <c r="U329" s="29"/>
      <c r="V329" s="33"/>
      <c r="W329" s="30"/>
    </row>
    <row r="330" spans="1:23" s="10" customFormat="1" ht="25.5">
      <c r="A330" s="48" t="s">
        <v>412</v>
      </c>
      <c r="B330" s="49">
        <v>42032</v>
      </c>
      <c r="C330" s="48" t="s">
        <v>11</v>
      </c>
      <c r="D330" s="48" t="s">
        <v>243</v>
      </c>
      <c r="E330" s="48" t="s">
        <v>129</v>
      </c>
      <c r="F330" s="48" t="s">
        <v>413</v>
      </c>
      <c r="G330" s="48" t="s">
        <v>414</v>
      </c>
      <c r="H330" s="50" t="s">
        <v>170</v>
      </c>
      <c r="I330" s="51" t="str">
        <f t="shared" si="133"/>
        <v>ATENDIDO</v>
      </c>
      <c r="J330" s="61" t="s">
        <v>408</v>
      </c>
      <c r="K330" s="53">
        <v>42034</v>
      </c>
      <c r="L330" s="53">
        <v>42034</v>
      </c>
      <c r="M330" s="54">
        <v>1</v>
      </c>
      <c r="N330" s="55" t="s">
        <v>266</v>
      </c>
      <c r="O330" s="55"/>
      <c r="P330" s="54">
        <f t="shared" si="126"/>
        <v>3</v>
      </c>
      <c r="Q330" s="54">
        <v>1</v>
      </c>
      <c r="R330" s="60" t="s">
        <v>267</v>
      </c>
      <c r="S330" s="30"/>
      <c r="T330" s="33"/>
      <c r="U330" s="29"/>
      <c r="V330" s="33"/>
      <c r="W330" s="30"/>
    </row>
    <row r="331" spans="1:23" s="10" customFormat="1" ht="25.5">
      <c r="A331" s="48" t="s">
        <v>409</v>
      </c>
      <c r="B331" s="49">
        <v>42032</v>
      </c>
      <c r="C331" s="48" t="s">
        <v>189</v>
      </c>
      <c r="D331" s="48" t="s">
        <v>243</v>
      </c>
      <c r="E331" s="48" t="s">
        <v>80</v>
      </c>
      <c r="F331" s="48" t="s">
        <v>410</v>
      </c>
      <c r="G331" s="48" t="s">
        <v>411</v>
      </c>
      <c r="H331" s="50" t="s">
        <v>170</v>
      </c>
      <c r="I331" s="51" t="str">
        <f t="shared" si="133"/>
        <v>ATENDIDO</v>
      </c>
      <c r="J331" s="61" t="s">
        <v>408</v>
      </c>
      <c r="K331" s="53">
        <v>42044</v>
      </c>
      <c r="L331" s="53">
        <v>42044</v>
      </c>
      <c r="M331" s="54">
        <v>1</v>
      </c>
      <c r="N331" s="55" t="s">
        <v>266</v>
      </c>
      <c r="O331" s="55"/>
      <c r="P331" s="54">
        <f t="shared" si="126"/>
        <v>9</v>
      </c>
      <c r="Q331" s="54">
        <v>1</v>
      </c>
      <c r="R331" s="60" t="s">
        <v>267</v>
      </c>
      <c r="S331" s="30"/>
      <c r="T331" s="33"/>
      <c r="U331" s="29"/>
      <c r="V331" s="33"/>
      <c r="W331" s="30"/>
    </row>
    <row r="332" spans="1:23" s="10" customFormat="1" ht="25.5">
      <c r="A332" s="48" t="s">
        <v>406</v>
      </c>
      <c r="B332" s="49">
        <v>42031</v>
      </c>
      <c r="C332" s="48" t="s">
        <v>12</v>
      </c>
      <c r="D332" s="48" t="s">
        <v>243</v>
      </c>
      <c r="E332" s="48" t="s">
        <v>76</v>
      </c>
      <c r="F332" s="48" t="s">
        <v>407</v>
      </c>
      <c r="G332" s="48" t="s">
        <v>365</v>
      </c>
      <c r="H332" s="50" t="s">
        <v>170</v>
      </c>
      <c r="I332" s="51" t="str">
        <f t="shared" si="133"/>
        <v>ATENDIDO</v>
      </c>
      <c r="J332" s="61">
        <v>96</v>
      </c>
      <c r="K332" s="53">
        <v>42041</v>
      </c>
      <c r="L332" s="53">
        <v>42041</v>
      </c>
      <c r="M332" s="54">
        <v>1</v>
      </c>
      <c r="N332" s="55" t="s">
        <v>266</v>
      </c>
      <c r="O332" s="55"/>
      <c r="P332" s="54">
        <f t="shared" si="126"/>
        <v>9</v>
      </c>
      <c r="Q332" s="54">
        <v>1</v>
      </c>
      <c r="R332" s="60" t="s">
        <v>267</v>
      </c>
      <c r="S332" s="30"/>
      <c r="T332" s="33"/>
      <c r="U332" s="29"/>
      <c r="V332" s="33"/>
      <c r="W332" s="30"/>
    </row>
    <row r="333" spans="1:23" s="10" customFormat="1" ht="25.5">
      <c r="A333" s="48" t="s">
        <v>405</v>
      </c>
      <c r="B333" s="49">
        <v>42031</v>
      </c>
      <c r="C333" s="48" t="s">
        <v>12</v>
      </c>
      <c r="D333" s="48" t="s">
        <v>243</v>
      </c>
      <c r="E333" s="48" t="s">
        <v>94</v>
      </c>
      <c r="F333" s="48" t="s">
        <v>379</v>
      </c>
      <c r="G333" s="48" t="s">
        <v>365</v>
      </c>
      <c r="H333" s="50" t="s">
        <v>172</v>
      </c>
      <c r="I333" s="51" t="str">
        <f t="shared" si="133"/>
        <v>ATENDIDO</v>
      </c>
      <c r="J333" s="61">
        <v>69</v>
      </c>
      <c r="K333" s="53">
        <v>42039</v>
      </c>
      <c r="L333" s="53">
        <v>42039</v>
      </c>
      <c r="M333" s="54">
        <v>1</v>
      </c>
      <c r="N333" s="55" t="s">
        <v>266</v>
      </c>
      <c r="O333" s="55"/>
      <c r="P333" s="54">
        <f t="shared" si="126"/>
        <v>7</v>
      </c>
      <c r="Q333" s="54">
        <v>1</v>
      </c>
      <c r="R333" s="60" t="s">
        <v>267</v>
      </c>
      <c r="S333" s="30"/>
      <c r="T333" s="33"/>
      <c r="U333" s="29"/>
      <c r="V333" s="33"/>
      <c r="W333" s="30"/>
    </row>
    <row r="334" spans="1:23" s="10" customFormat="1" ht="25.5">
      <c r="A334" s="48" t="s">
        <v>404</v>
      </c>
      <c r="B334" s="49">
        <v>42031</v>
      </c>
      <c r="C334" s="48" t="s">
        <v>25</v>
      </c>
      <c r="D334" s="48" t="s">
        <v>243</v>
      </c>
      <c r="E334" s="48" t="s">
        <v>71</v>
      </c>
      <c r="F334" s="48" t="s">
        <v>399</v>
      </c>
      <c r="G334" s="48" t="s">
        <v>365</v>
      </c>
      <c r="H334" s="50" t="s">
        <v>172</v>
      </c>
      <c r="I334" s="51" t="str">
        <f t="shared" ref="I334:I339" si="134">IF(J334=0,"PENDIENTE",IF(J334="C","CORREO ENVIADO",IF(J334="OF","OFICIO EN FIRMA",IF(J334="PF","PLANOS EN FIRMA",IF(J334="OM","OFICIO MAQUINADO","ATENDIDO")))))</f>
        <v>ATENDIDO</v>
      </c>
      <c r="J334" s="61">
        <v>70</v>
      </c>
      <c r="K334" s="53">
        <v>42040</v>
      </c>
      <c r="L334" s="53">
        <v>42040</v>
      </c>
      <c r="M334" s="54">
        <v>1</v>
      </c>
      <c r="N334" s="55" t="s">
        <v>266</v>
      </c>
      <c r="O334" s="55"/>
      <c r="P334" s="54">
        <f t="shared" si="126"/>
        <v>8</v>
      </c>
      <c r="Q334" s="54">
        <v>1</v>
      </c>
      <c r="R334" s="60" t="s">
        <v>267</v>
      </c>
      <c r="S334" s="30"/>
      <c r="T334" s="33"/>
      <c r="U334" s="29"/>
      <c r="V334" s="33"/>
      <c r="W334" s="30"/>
    </row>
    <row r="335" spans="1:23" s="10" customFormat="1" ht="25.5">
      <c r="A335" s="48" t="s">
        <v>403</v>
      </c>
      <c r="B335" s="49">
        <v>42031</v>
      </c>
      <c r="C335" s="48" t="s">
        <v>25</v>
      </c>
      <c r="D335" s="48" t="s">
        <v>243</v>
      </c>
      <c r="E335" s="48" t="s">
        <v>71</v>
      </c>
      <c r="F335" s="48" t="s">
        <v>399</v>
      </c>
      <c r="G335" s="48" t="s">
        <v>365</v>
      </c>
      <c r="H335" s="50" t="s">
        <v>172</v>
      </c>
      <c r="I335" s="51" t="str">
        <f t="shared" si="134"/>
        <v>ATENDIDO</v>
      </c>
      <c r="J335" s="61">
        <v>70</v>
      </c>
      <c r="K335" s="53">
        <v>42040</v>
      </c>
      <c r="L335" s="53">
        <v>42040</v>
      </c>
      <c r="M335" s="54">
        <v>1</v>
      </c>
      <c r="N335" s="55" t="s">
        <v>266</v>
      </c>
      <c r="O335" s="55"/>
      <c r="P335" s="54">
        <f t="shared" si="126"/>
        <v>8</v>
      </c>
      <c r="Q335" s="54">
        <v>1</v>
      </c>
      <c r="R335" s="60" t="s">
        <v>267</v>
      </c>
      <c r="S335" s="30"/>
      <c r="T335" s="33"/>
      <c r="U335" s="29"/>
      <c r="V335" s="33"/>
      <c r="W335" s="30"/>
    </row>
    <row r="336" spans="1:23" s="10" customFormat="1" ht="25.5">
      <c r="A336" s="48" t="s">
        <v>402</v>
      </c>
      <c r="B336" s="49">
        <v>42031</v>
      </c>
      <c r="C336" s="48" t="s">
        <v>12</v>
      </c>
      <c r="D336" s="48" t="s">
        <v>243</v>
      </c>
      <c r="E336" s="48" t="s">
        <v>71</v>
      </c>
      <c r="F336" s="48" t="s">
        <v>399</v>
      </c>
      <c r="G336" s="48" t="s">
        <v>365</v>
      </c>
      <c r="H336" s="50" t="s">
        <v>341</v>
      </c>
      <c r="I336" s="51" t="str">
        <f t="shared" si="134"/>
        <v>ATENDIDO</v>
      </c>
      <c r="J336" s="61">
        <v>68</v>
      </c>
      <c r="K336" s="53">
        <v>42039</v>
      </c>
      <c r="L336" s="53">
        <v>42039</v>
      </c>
      <c r="M336" s="54">
        <v>1</v>
      </c>
      <c r="N336" s="55" t="s">
        <v>266</v>
      </c>
      <c r="O336" s="55"/>
      <c r="P336" s="54">
        <f t="shared" si="126"/>
        <v>7</v>
      </c>
      <c r="Q336" s="54">
        <v>1</v>
      </c>
      <c r="R336" s="60" t="s">
        <v>267</v>
      </c>
      <c r="S336" s="30"/>
      <c r="T336" s="33"/>
      <c r="U336" s="29"/>
      <c r="V336" s="33"/>
      <c r="W336" s="30"/>
    </row>
    <row r="337" spans="1:23" s="10" customFormat="1" ht="25.5">
      <c r="A337" s="48" t="s">
        <v>401</v>
      </c>
      <c r="B337" s="49">
        <v>42031</v>
      </c>
      <c r="C337" s="48" t="s">
        <v>12</v>
      </c>
      <c r="D337" s="48" t="s">
        <v>243</v>
      </c>
      <c r="E337" s="48" t="s">
        <v>71</v>
      </c>
      <c r="F337" s="48" t="s">
        <v>399</v>
      </c>
      <c r="G337" s="48" t="s">
        <v>365</v>
      </c>
      <c r="H337" s="50" t="s">
        <v>341</v>
      </c>
      <c r="I337" s="51" t="str">
        <f t="shared" si="134"/>
        <v>ATENDIDO</v>
      </c>
      <c r="J337" s="61">
        <v>68</v>
      </c>
      <c r="K337" s="53">
        <v>42039</v>
      </c>
      <c r="L337" s="53">
        <v>42039</v>
      </c>
      <c r="M337" s="54">
        <v>1</v>
      </c>
      <c r="N337" s="55" t="s">
        <v>266</v>
      </c>
      <c r="O337" s="55"/>
      <c r="P337" s="54">
        <f t="shared" si="126"/>
        <v>7</v>
      </c>
      <c r="Q337" s="54">
        <v>1</v>
      </c>
      <c r="R337" s="60" t="s">
        <v>267</v>
      </c>
      <c r="S337" s="30"/>
      <c r="T337" s="33"/>
      <c r="U337" s="29"/>
      <c r="V337" s="33"/>
      <c r="W337" s="30"/>
    </row>
    <row r="338" spans="1:23" s="10" customFormat="1" ht="25.5">
      <c r="A338" s="48" t="s">
        <v>400</v>
      </c>
      <c r="B338" s="49">
        <v>42031</v>
      </c>
      <c r="C338" s="48" t="s">
        <v>12</v>
      </c>
      <c r="D338" s="48" t="s">
        <v>243</v>
      </c>
      <c r="E338" s="48" t="s">
        <v>71</v>
      </c>
      <c r="F338" s="48" t="s">
        <v>399</v>
      </c>
      <c r="G338" s="48" t="s">
        <v>365</v>
      </c>
      <c r="H338" s="50" t="s">
        <v>341</v>
      </c>
      <c r="I338" s="51" t="str">
        <f t="shared" si="134"/>
        <v>ATENDIDO</v>
      </c>
      <c r="J338" s="61">
        <v>67</v>
      </c>
      <c r="K338" s="53">
        <v>42039</v>
      </c>
      <c r="L338" s="53">
        <v>42039</v>
      </c>
      <c r="M338" s="54">
        <v>1</v>
      </c>
      <c r="N338" s="55" t="s">
        <v>266</v>
      </c>
      <c r="O338" s="55"/>
      <c r="P338" s="54">
        <f t="shared" si="126"/>
        <v>7</v>
      </c>
      <c r="Q338" s="54">
        <v>1</v>
      </c>
      <c r="R338" s="60" t="s">
        <v>267</v>
      </c>
      <c r="S338" s="30"/>
      <c r="T338" s="33"/>
      <c r="U338" s="29"/>
      <c r="V338" s="33"/>
      <c r="W338" s="30"/>
    </row>
    <row r="339" spans="1:23" s="10" customFormat="1" ht="25.5">
      <c r="A339" s="48" t="s">
        <v>398</v>
      </c>
      <c r="B339" s="49">
        <v>42031</v>
      </c>
      <c r="C339" s="48" t="s">
        <v>12</v>
      </c>
      <c r="D339" s="48" t="s">
        <v>243</v>
      </c>
      <c r="E339" s="48" t="s">
        <v>71</v>
      </c>
      <c r="F339" s="48" t="s">
        <v>399</v>
      </c>
      <c r="G339" s="48" t="s">
        <v>365</v>
      </c>
      <c r="H339" s="50" t="s">
        <v>341</v>
      </c>
      <c r="I339" s="51" t="str">
        <f t="shared" si="134"/>
        <v>ATENDIDO</v>
      </c>
      <c r="J339" s="61">
        <v>67</v>
      </c>
      <c r="K339" s="53">
        <v>42039</v>
      </c>
      <c r="L339" s="53">
        <v>42039</v>
      </c>
      <c r="M339" s="54">
        <v>1</v>
      </c>
      <c r="N339" s="55" t="s">
        <v>266</v>
      </c>
      <c r="O339" s="55"/>
      <c r="P339" s="54">
        <f t="shared" si="126"/>
        <v>7</v>
      </c>
      <c r="Q339" s="54">
        <v>1</v>
      </c>
      <c r="R339" s="60" t="s">
        <v>267</v>
      </c>
      <c r="S339" s="30"/>
      <c r="T339" s="33"/>
      <c r="U339" s="29"/>
      <c r="V339" s="33"/>
      <c r="W339" s="30"/>
    </row>
    <row r="340" spans="1:23" s="10" customFormat="1" ht="25.5">
      <c r="A340" s="48" t="s">
        <v>395</v>
      </c>
      <c r="B340" s="49">
        <v>42027</v>
      </c>
      <c r="C340" s="48" t="s">
        <v>31</v>
      </c>
      <c r="D340" s="48" t="s">
        <v>243</v>
      </c>
      <c r="E340" s="48" t="s">
        <v>95</v>
      </c>
      <c r="F340" s="48" t="s">
        <v>396</v>
      </c>
      <c r="G340" s="48" t="s">
        <v>397</v>
      </c>
      <c r="H340" s="50" t="s">
        <v>341</v>
      </c>
      <c r="I340" s="51" t="str">
        <f t="shared" ref="I340:I345" si="135">IF(J340=0,"PENDIENTE",IF(J340="C","CORREO ENVIADO",IF(J340="OF","OFICIO EN FIRMA",IF(J340="PF","PLANOS EN FIRMA",IF(J340="OM","OFICIO MAQUINADO","ATENDIDO")))))</f>
        <v>ATENDIDO</v>
      </c>
      <c r="J340" s="61">
        <v>58</v>
      </c>
      <c r="K340" s="53">
        <v>42034</v>
      </c>
      <c r="L340" s="53">
        <v>42034</v>
      </c>
      <c r="M340" s="54">
        <v>1</v>
      </c>
      <c r="N340" s="55" t="s">
        <v>266</v>
      </c>
      <c r="O340" s="55"/>
      <c r="P340" s="54">
        <f t="shared" si="126"/>
        <v>6</v>
      </c>
      <c r="Q340" s="54">
        <v>1</v>
      </c>
      <c r="R340" s="60" t="s">
        <v>267</v>
      </c>
      <c r="S340" s="30"/>
      <c r="T340" s="33"/>
      <c r="U340" s="29"/>
      <c r="V340" s="33"/>
      <c r="W340" s="30"/>
    </row>
    <row r="341" spans="1:23" s="10" customFormat="1" ht="25.5">
      <c r="A341" s="48" t="s">
        <v>393</v>
      </c>
      <c r="B341" s="49">
        <v>42026</v>
      </c>
      <c r="C341" s="48" t="s">
        <v>12</v>
      </c>
      <c r="D341" s="48" t="s">
        <v>243</v>
      </c>
      <c r="E341" s="48" t="s">
        <v>342</v>
      </c>
      <c r="F341" s="48" t="s">
        <v>394</v>
      </c>
      <c r="G341" s="48" t="s">
        <v>365</v>
      </c>
      <c r="H341" s="50" t="s">
        <v>170</v>
      </c>
      <c r="I341" s="51" t="str">
        <f t="shared" si="135"/>
        <v>ATENDIDO</v>
      </c>
      <c r="J341" s="61">
        <v>46</v>
      </c>
      <c r="K341" s="53">
        <v>42027</v>
      </c>
      <c r="L341" s="53">
        <v>42027</v>
      </c>
      <c r="M341" s="54">
        <v>1</v>
      </c>
      <c r="N341" s="55" t="s">
        <v>266</v>
      </c>
      <c r="O341" s="55"/>
      <c r="P341" s="54">
        <f t="shared" ref="P341:P352" si="136">IF(L341=0,0,(NETWORKDAYS(B341,L341)))</f>
        <v>2</v>
      </c>
      <c r="Q341" s="54">
        <v>1</v>
      </c>
      <c r="R341" s="60" t="s">
        <v>267</v>
      </c>
      <c r="S341" s="30"/>
      <c r="T341" s="33"/>
      <c r="U341" s="29"/>
      <c r="V341" s="33"/>
      <c r="W341" s="30"/>
    </row>
    <row r="342" spans="1:23" s="10" customFormat="1" ht="25.5">
      <c r="A342" s="48" t="s">
        <v>390</v>
      </c>
      <c r="B342" s="49">
        <v>42023</v>
      </c>
      <c r="C342" s="48" t="s">
        <v>12</v>
      </c>
      <c r="D342" s="48" t="s">
        <v>243</v>
      </c>
      <c r="E342" s="48" t="s">
        <v>302</v>
      </c>
      <c r="F342" s="48" t="s">
        <v>391</v>
      </c>
      <c r="G342" s="48" t="s">
        <v>365</v>
      </c>
      <c r="H342" s="50" t="s">
        <v>172</v>
      </c>
      <c r="I342" s="51" t="str">
        <f t="shared" si="135"/>
        <v>ATENDIDO</v>
      </c>
      <c r="J342" s="61">
        <v>47</v>
      </c>
      <c r="K342" s="53">
        <v>42026</v>
      </c>
      <c r="L342" s="53">
        <v>42026</v>
      </c>
      <c r="M342" s="54">
        <v>1</v>
      </c>
      <c r="N342" s="55" t="s">
        <v>266</v>
      </c>
      <c r="O342" s="55"/>
      <c r="P342" s="54">
        <f t="shared" si="136"/>
        <v>4</v>
      </c>
      <c r="Q342" s="54">
        <v>1</v>
      </c>
      <c r="R342" s="60" t="s">
        <v>267</v>
      </c>
      <c r="S342" s="30"/>
      <c r="T342" s="33"/>
      <c r="U342" s="29"/>
      <c r="V342" s="33"/>
      <c r="W342" s="30"/>
    </row>
    <row r="343" spans="1:23" s="10" customFormat="1" ht="25.5">
      <c r="A343" s="48" t="s">
        <v>387</v>
      </c>
      <c r="B343" s="49">
        <v>42019</v>
      </c>
      <c r="C343" s="48" t="s">
        <v>68</v>
      </c>
      <c r="D343" s="48" t="s">
        <v>243</v>
      </c>
      <c r="E343" s="48" t="s">
        <v>96</v>
      </c>
      <c r="F343" s="48" t="s">
        <v>388</v>
      </c>
      <c r="G343" s="48" t="s">
        <v>389</v>
      </c>
      <c r="H343" s="50" t="s">
        <v>170</v>
      </c>
      <c r="I343" s="51" t="str">
        <f t="shared" si="135"/>
        <v>ATENDIDO</v>
      </c>
      <c r="J343" s="61">
        <v>55</v>
      </c>
      <c r="K343" s="53">
        <v>42032</v>
      </c>
      <c r="L343" s="53">
        <v>42032</v>
      </c>
      <c r="M343" s="54">
        <v>1</v>
      </c>
      <c r="N343" s="55" t="s">
        <v>266</v>
      </c>
      <c r="O343" s="55"/>
      <c r="P343" s="54">
        <f t="shared" si="136"/>
        <v>10</v>
      </c>
      <c r="Q343" s="54">
        <v>1</v>
      </c>
      <c r="R343" s="60" t="s">
        <v>267</v>
      </c>
      <c r="S343" s="30"/>
      <c r="T343" s="33"/>
      <c r="U343" s="29"/>
      <c r="V343" s="33"/>
      <c r="W343" s="30"/>
    </row>
    <row r="344" spans="1:23" s="10" customFormat="1" ht="25.5">
      <c r="A344" s="48" t="s">
        <v>385</v>
      </c>
      <c r="B344" s="49">
        <v>42018</v>
      </c>
      <c r="C344" s="48" t="s">
        <v>13</v>
      </c>
      <c r="D344" s="48" t="s">
        <v>243</v>
      </c>
      <c r="E344" s="48" t="s">
        <v>73</v>
      </c>
      <c r="F344" s="48" t="s">
        <v>386</v>
      </c>
      <c r="G344" s="48" t="s">
        <v>365</v>
      </c>
      <c r="H344" s="50" t="s">
        <v>170</v>
      </c>
      <c r="I344" s="51" t="str">
        <f t="shared" si="135"/>
        <v>ATENDIDO</v>
      </c>
      <c r="J344" s="61" t="s">
        <v>436</v>
      </c>
      <c r="K344" s="53">
        <v>42038</v>
      </c>
      <c r="L344" s="53">
        <v>42038</v>
      </c>
      <c r="M344" s="54">
        <v>1</v>
      </c>
      <c r="N344" s="55" t="s">
        <v>266</v>
      </c>
      <c r="O344" s="55"/>
      <c r="P344" s="54">
        <f t="shared" si="136"/>
        <v>15</v>
      </c>
      <c r="Q344" s="54">
        <v>1</v>
      </c>
      <c r="R344" s="60" t="s">
        <v>267</v>
      </c>
      <c r="S344" s="30"/>
      <c r="T344" s="33"/>
      <c r="U344" s="29"/>
      <c r="V344" s="33"/>
      <c r="W344" s="30"/>
    </row>
    <row r="345" spans="1:23" s="10" customFormat="1" ht="25.5">
      <c r="A345" s="48" t="s">
        <v>383</v>
      </c>
      <c r="B345" s="49">
        <v>42017</v>
      </c>
      <c r="C345" s="48" t="s">
        <v>37</v>
      </c>
      <c r="D345" s="48" t="s">
        <v>243</v>
      </c>
      <c r="E345" s="48" t="s">
        <v>342</v>
      </c>
      <c r="F345" s="48" t="s">
        <v>384</v>
      </c>
      <c r="G345" s="48" t="s">
        <v>365</v>
      </c>
      <c r="H345" s="50" t="s">
        <v>170</v>
      </c>
      <c r="I345" s="51" t="str">
        <f t="shared" si="135"/>
        <v>ATENDIDO</v>
      </c>
      <c r="J345" s="61">
        <v>35</v>
      </c>
      <c r="K345" s="53">
        <v>42020</v>
      </c>
      <c r="L345" s="53">
        <v>42020</v>
      </c>
      <c r="M345" s="54">
        <v>1</v>
      </c>
      <c r="N345" s="55" t="s">
        <v>266</v>
      </c>
      <c r="O345" s="55"/>
      <c r="P345" s="54">
        <f t="shared" si="136"/>
        <v>4</v>
      </c>
      <c r="Q345" s="54">
        <v>1</v>
      </c>
      <c r="R345" s="60" t="s">
        <v>267</v>
      </c>
      <c r="S345" s="30"/>
      <c r="T345" s="33"/>
      <c r="U345" s="29"/>
      <c r="V345" s="33"/>
      <c r="W345" s="30"/>
    </row>
    <row r="346" spans="1:23" s="10" customFormat="1" ht="25.5">
      <c r="A346" s="48" t="s">
        <v>380</v>
      </c>
      <c r="B346" s="49">
        <v>42013</v>
      </c>
      <c r="C346" s="48" t="s">
        <v>18</v>
      </c>
      <c r="D346" s="48" t="s">
        <v>243</v>
      </c>
      <c r="E346" s="48" t="s">
        <v>75</v>
      </c>
      <c r="F346" s="48" t="s">
        <v>381</v>
      </c>
      <c r="G346" s="48" t="s">
        <v>365</v>
      </c>
      <c r="H346" s="50" t="s">
        <v>170</v>
      </c>
      <c r="I346" s="51" t="str">
        <f t="shared" ref="I346:I352" si="137">IF(J346=0,"PENDIENTE",IF(J346="C","CORREO ENVIADO",IF(J346="OF","OFICIO EN FIRMA",IF(J346="PF","PLANOS EN FIRMA",IF(J346="OM","OFICIO MAQUINADO","ATENDIDO")))))</f>
        <v>ATENDIDO</v>
      </c>
      <c r="J346" s="61">
        <v>20</v>
      </c>
      <c r="K346" s="53">
        <v>42016</v>
      </c>
      <c r="L346" s="53">
        <v>42016</v>
      </c>
      <c r="M346" s="54">
        <v>1</v>
      </c>
      <c r="N346" s="55" t="s">
        <v>266</v>
      </c>
      <c r="O346" s="55"/>
      <c r="P346" s="54">
        <f t="shared" si="136"/>
        <v>2</v>
      </c>
      <c r="Q346" s="54">
        <v>1</v>
      </c>
      <c r="R346" s="60" t="s">
        <v>267</v>
      </c>
      <c r="S346" s="30"/>
      <c r="T346" s="33"/>
      <c r="U346" s="29"/>
      <c r="V346" s="33"/>
      <c r="W346" s="30"/>
    </row>
    <row r="347" spans="1:23" s="10" customFormat="1" ht="25.5">
      <c r="A347" s="48" t="s">
        <v>378</v>
      </c>
      <c r="B347" s="49">
        <v>42013</v>
      </c>
      <c r="C347" s="48" t="s">
        <v>12</v>
      </c>
      <c r="D347" s="48" t="s">
        <v>243</v>
      </c>
      <c r="E347" s="48" t="s">
        <v>94</v>
      </c>
      <c r="F347" s="48" t="s">
        <v>379</v>
      </c>
      <c r="G347" s="48" t="s">
        <v>365</v>
      </c>
      <c r="H347" s="50" t="s">
        <v>172</v>
      </c>
      <c r="I347" s="51" t="str">
        <f t="shared" si="137"/>
        <v>ATENDIDO</v>
      </c>
      <c r="J347" s="61">
        <v>48</v>
      </c>
      <c r="K347" s="53">
        <v>42027</v>
      </c>
      <c r="L347" s="53">
        <v>42027</v>
      </c>
      <c r="M347" s="54">
        <v>1</v>
      </c>
      <c r="N347" s="55" t="s">
        <v>266</v>
      </c>
      <c r="O347" s="55"/>
      <c r="P347" s="54">
        <f t="shared" si="136"/>
        <v>11</v>
      </c>
      <c r="Q347" s="54">
        <v>1</v>
      </c>
      <c r="R347" s="60" t="s">
        <v>267</v>
      </c>
      <c r="S347" s="30"/>
      <c r="T347" s="33"/>
      <c r="U347" s="29"/>
      <c r="V347" s="33"/>
      <c r="W347" s="30"/>
    </row>
    <row r="348" spans="1:23" s="10" customFormat="1" ht="25.5">
      <c r="A348" s="48" t="s">
        <v>375</v>
      </c>
      <c r="B348" s="49">
        <v>42012</v>
      </c>
      <c r="C348" s="48" t="s">
        <v>46</v>
      </c>
      <c r="D348" s="48" t="s">
        <v>243</v>
      </c>
      <c r="E348" s="48" t="s">
        <v>326</v>
      </c>
      <c r="F348" s="48" t="s">
        <v>376</v>
      </c>
      <c r="G348" s="48" t="s">
        <v>377</v>
      </c>
      <c r="H348" s="50" t="s">
        <v>170</v>
      </c>
      <c r="I348" s="51" t="str">
        <f t="shared" si="137"/>
        <v>ATENDIDO</v>
      </c>
      <c r="J348" s="61">
        <v>19</v>
      </c>
      <c r="K348" s="53">
        <v>42017</v>
      </c>
      <c r="L348" s="53">
        <v>42017</v>
      </c>
      <c r="M348" s="54">
        <v>1</v>
      </c>
      <c r="N348" s="55" t="s">
        <v>266</v>
      </c>
      <c r="O348" s="55"/>
      <c r="P348" s="54">
        <f t="shared" si="136"/>
        <v>4</v>
      </c>
      <c r="Q348" s="54">
        <v>1</v>
      </c>
      <c r="R348" s="60" t="s">
        <v>267</v>
      </c>
      <c r="S348" s="30"/>
      <c r="T348" s="33"/>
      <c r="U348" s="29"/>
      <c r="V348" s="33"/>
      <c r="W348" s="30"/>
    </row>
    <row r="349" spans="1:23" s="10" customFormat="1" ht="25.5">
      <c r="A349" s="48" t="s">
        <v>373</v>
      </c>
      <c r="B349" s="49">
        <v>42012</v>
      </c>
      <c r="C349" s="48" t="s">
        <v>34</v>
      </c>
      <c r="D349" s="48" t="s">
        <v>243</v>
      </c>
      <c r="E349" s="48" t="s">
        <v>82</v>
      </c>
      <c r="F349" s="48" t="s">
        <v>374</v>
      </c>
      <c r="G349" s="48" t="s">
        <v>365</v>
      </c>
      <c r="H349" s="50" t="s">
        <v>170</v>
      </c>
      <c r="I349" s="51" t="str">
        <f t="shared" si="137"/>
        <v>ATENDIDO</v>
      </c>
      <c r="J349" s="61" t="s">
        <v>408</v>
      </c>
      <c r="K349" s="53">
        <v>42031</v>
      </c>
      <c r="L349" s="53">
        <v>42031</v>
      </c>
      <c r="M349" s="54">
        <v>1</v>
      </c>
      <c r="N349" s="55" t="s">
        <v>266</v>
      </c>
      <c r="O349" s="55"/>
      <c r="P349" s="54">
        <f t="shared" si="136"/>
        <v>14</v>
      </c>
      <c r="Q349" s="54">
        <v>1</v>
      </c>
      <c r="R349" s="60" t="s">
        <v>267</v>
      </c>
      <c r="S349" s="30"/>
      <c r="T349" s="33"/>
      <c r="U349" s="29"/>
      <c r="V349" s="33"/>
      <c r="W349" s="30"/>
    </row>
    <row r="350" spans="1:23" s="10" customFormat="1" ht="23.25">
      <c r="A350" s="48" t="s">
        <v>371</v>
      </c>
      <c r="B350" s="49">
        <v>42012</v>
      </c>
      <c r="C350" s="48" t="s">
        <v>12</v>
      </c>
      <c r="D350" s="48" t="s">
        <v>243</v>
      </c>
      <c r="E350" s="48" t="s">
        <v>100</v>
      </c>
      <c r="F350" s="48" t="s">
        <v>372</v>
      </c>
      <c r="G350" s="48" t="s">
        <v>365</v>
      </c>
      <c r="H350" s="50" t="s">
        <v>172</v>
      </c>
      <c r="I350" s="51" t="str">
        <f t="shared" si="137"/>
        <v>ATENDIDO</v>
      </c>
      <c r="J350" s="61">
        <v>7</v>
      </c>
      <c r="K350" s="53">
        <v>42012</v>
      </c>
      <c r="L350" s="53">
        <v>42012</v>
      </c>
      <c r="M350" s="54">
        <v>1</v>
      </c>
      <c r="N350" s="55" t="s">
        <v>266</v>
      </c>
      <c r="O350" s="55"/>
      <c r="P350" s="54">
        <f t="shared" si="136"/>
        <v>1</v>
      </c>
      <c r="Q350" s="54">
        <v>1</v>
      </c>
      <c r="R350" s="60" t="s">
        <v>267</v>
      </c>
      <c r="S350" s="30"/>
      <c r="T350" s="33"/>
      <c r="U350" s="29"/>
      <c r="V350" s="33"/>
      <c r="W350" s="30"/>
    </row>
    <row r="351" spans="1:23" s="10" customFormat="1" ht="25.5">
      <c r="A351" s="48" t="s">
        <v>367</v>
      </c>
      <c r="B351" s="49">
        <v>42010</v>
      </c>
      <c r="C351" s="48" t="s">
        <v>22</v>
      </c>
      <c r="D351" s="48" t="s">
        <v>243</v>
      </c>
      <c r="E351" s="48" t="s">
        <v>368</v>
      </c>
      <c r="F351" s="48" t="s">
        <v>369</v>
      </c>
      <c r="G351" s="48" t="s">
        <v>370</v>
      </c>
      <c r="H351" s="50" t="s">
        <v>392</v>
      </c>
      <c r="I351" s="51" t="str">
        <f t="shared" si="137"/>
        <v>ATENDIDO</v>
      </c>
      <c r="J351" s="61" t="s">
        <v>408</v>
      </c>
      <c r="K351" s="53">
        <v>42040</v>
      </c>
      <c r="L351" s="53">
        <v>42040</v>
      </c>
      <c r="M351" s="54">
        <v>1</v>
      </c>
      <c r="N351" s="55" t="s">
        <v>266</v>
      </c>
      <c r="O351" s="55"/>
      <c r="P351" s="54">
        <f t="shared" si="136"/>
        <v>23</v>
      </c>
      <c r="Q351" s="54">
        <v>1</v>
      </c>
      <c r="R351" s="60" t="s">
        <v>267</v>
      </c>
      <c r="S351" s="30"/>
      <c r="T351" s="33"/>
      <c r="U351" s="29"/>
      <c r="V351" s="33"/>
      <c r="W351" s="30"/>
    </row>
    <row r="352" spans="1:23" s="10" customFormat="1" ht="25.5">
      <c r="A352" s="48" t="s">
        <v>340</v>
      </c>
      <c r="B352" s="49">
        <v>42009</v>
      </c>
      <c r="C352" s="48" t="s">
        <v>12</v>
      </c>
      <c r="D352" s="48" t="s">
        <v>243</v>
      </c>
      <c r="E352" s="48" t="s">
        <v>302</v>
      </c>
      <c r="F352" s="48" t="s">
        <v>366</v>
      </c>
      <c r="G352" s="48" t="s">
        <v>365</v>
      </c>
      <c r="H352" s="50" t="s">
        <v>172</v>
      </c>
      <c r="I352" s="51" t="str">
        <f t="shared" si="137"/>
        <v>ATENDIDO</v>
      </c>
      <c r="J352" s="61">
        <v>21</v>
      </c>
      <c r="K352" s="53">
        <v>42016</v>
      </c>
      <c r="L352" s="53">
        <v>42016</v>
      </c>
      <c r="M352" s="54">
        <v>1</v>
      </c>
      <c r="N352" s="55" t="s">
        <v>266</v>
      </c>
      <c r="O352" s="55"/>
      <c r="P352" s="54">
        <f t="shared" si="136"/>
        <v>6</v>
      </c>
      <c r="Q352" s="54">
        <v>1</v>
      </c>
      <c r="R352" s="60" t="s">
        <v>267</v>
      </c>
      <c r="S352" s="30"/>
      <c r="T352" s="33"/>
      <c r="U352" s="29"/>
      <c r="V352" s="33"/>
      <c r="W352" s="30"/>
    </row>
    <row r="353" spans="16:18">
      <c r="P353" s="47"/>
      <c r="Q353" s="47"/>
      <c r="R353" s="47"/>
    </row>
  </sheetData>
  <sheetProtection selectLockedCells="1"/>
  <autoFilter ref="A1:W352">
    <filterColumn colId="4"/>
  </autoFilter>
  <dataConsolidate function="average" topLabels="1" link="1">
    <dataRefs count="1">
      <dataRef ref="F24:G44" sheet="Base de Datos"/>
    </dataRefs>
  </dataConsolidate>
  <hyperlinks>
    <hyperlink ref="J352" r:id="rId1" display="21.pdf"/>
    <hyperlink ref="J350" r:id="rId2" display="07.pdf"/>
    <hyperlink ref="J348" r:id="rId3" display="19.pdf"/>
    <hyperlink ref="J346" r:id="rId4" display="20.pdf"/>
    <hyperlink ref="J345" r:id="rId5" display="35.pdf"/>
    <hyperlink ref="J341" r:id="rId6" display="46.pdf"/>
    <hyperlink ref="J342" r:id="rId7" display="47.pdf"/>
    <hyperlink ref="J347" r:id="rId8" display="48.pdf"/>
    <hyperlink ref="J349" r:id="rId9"/>
    <hyperlink ref="J330" r:id="rId10"/>
    <hyperlink ref="J343" r:id="rId11" display="55.pdf"/>
    <hyperlink ref="J340" r:id="rId12" display="58.pdf"/>
    <hyperlink ref="J335" r:id="rId13" display="70.pdf"/>
    <hyperlink ref="J334" r:id="rId14" display="70.pdf"/>
    <hyperlink ref="J339" r:id="rId15" display="67.pdf"/>
    <hyperlink ref="J338" r:id="rId16" display="67.pdf"/>
    <hyperlink ref="J337" r:id="rId17" display="68.pdf"/>
    <hyperlink ref="J336" r:id="rId18" display="68.pdf"/>
    <hyperlink ref="J333" r:id="rId19" display="69.pdf"/>
    <hyperlink ref="J323" r:id="rId20" display="82.pdf"/>
    <hyperlink ref="J328" r:id="rId21" display="81.pdf"/>
    <hyperlink ref="J344" r:id="rId22"/>
    <hyperlink ref="J322" r:id="rId23" display="88.pdf"/>
    <hyperlink ref="J324" r:id="rId24" display="89.pdf"/>
    <hyperlink ref="J325" r:id="rId25" display="87.pdf"/>
    <hyperlink ref="J351" r:id="rId26"/>
    <hyperlink ref="J331" r:id="rId27"/>
    <hyperlink ref="J332" r:id="rId28" display="96.pdf"/>
    <hyperlink ref="J329" r:id="rId29" display="97.pdf"/>
    <hyperlink ref="J306" r:id="rId30" display="101.pdf"/>
    <hyperlink ref="J309" r:id="rId31" display="105.pdf"/>
    <hyperlink ref="J327" r:id="rId32"/>
    <hyperlink ref="J317" r:id="rId33" display="112.pdf"/>
    <hyperlink ref="J319" r:id="rId34" display="110 .pdf"/>
    <hyperlink ref="J320" r:id="rId35" display="109.pdf"/>
    <hyperlink ref="J321" r:id="rId36" display="108.pdf"/>
    <hyperlink ref="J307" r:id="rId37" display="107.pdf"/>
    <hyperlink ref="J302" r:id="rId38" display="116.pdf"/>
    <hyperlink ref="J305" r:id="rId39" display="115.pdf"/>
    <hyperlink ref="J308" r:id="rId40" display="114.pdf"/>
    <hyperlink ref="J316" r:id="rId41" display="113.pdf"/>
    <hyperlink ref="J304" r:id="rId42" display="118.pdf"/>
    <hyperlink ref="J303" r:id="rId43" display="119.pdf"/>
    <hyperlink ref="J326" r:id="rId44"/>
    <hyperlink ref="J315" r:id="rId45" display="130.pdf"/>
    <hyperlink ref="J314" r:id="rId46" display="130.pdf"/>
    <hyperlink ref="J313" r:id="rId47" display="129.pdf"/>
    <hyperlink ref="J312" r:id="rId48" display="129.pdf"/>
    <hyperlink ref="J311" r:id="rId49" display="128.pdf"/>
    <hyperlink ref="J310" r:id="rId50" display="128.pdf"/>
    <hyperlink ref="J318" r:id="rId51"/>
    <hyperlink ref="J300" r:id="rId52" display="135.pdf"/>
    <hyperlink ref="J295" r:id="rId53" display="136.pdf"/>
    <hyperlink ref="J299" r:id="rId54" display="142.pdf"/>
    <hyperlink ref="J294" r:id="rId55" display="151.pdf"/>
    <hyperlink ref="J296" r:id="rId56" display="150.pdf"/>
    <hyperlink ref="J297" r:id="rId57" display="150.pdf"/>
    <hyperlink ref="J298" r:id="rId58" display="150.pdf"/>
    <hyperlink ref="J293" r:id="rId59" display="159.pdf"/>
    <hyperlink ref="J292" r:id="rId60" display="158.pdf"/>
    <hyperlink ref="J301" r:id="rId61" display="151.pdf"/>
    <hyperlink ref="J289" r:id="rId62" display="169.pdf"/>
    <hyperlink ref="J291" r:id="rId63" display="173.pdf"/>
    <hyperlink ref="J290" r:id="rId64" display="173.pdf"/>
    <hyperlink ref="J288" r:id="rId65" display="174.pdf"/>
    <hyperlink ref="J276" r:id="rId66" display="181.pdf"/>
    <hyperlink ref="J271" r:id="rId67" display="186.pdf"/>
    <hyperlink ref="J270" r:id="rId68" display="190.pdf"/>
    <hyperlink ref="J285" r:id="rId69" display="191.pdf"/>
    <hyperlink ref="J273" r:id="rId70" display="185.pdf"/>
    <hyperlink ref="J287" r:id="rId71" display="194.pdf"/>
    <hyperlink ref="J286" r:id="rId72" display="195.pdf"/>
    <hyperlink ref="J272" r:id="rId73" display="200.pdf"/>
    <hyperlink ref="J284" r:id="rId74"/>
    <hyperlink ref="J283" r:id="rId75"/>
    <hyperlink ref="J282" r:id="rId76" display="207.pdf"/>
    <hyperlink ref="J281" r:id="rId77" display="207.pdf"/>
    <hyperlink ref="J280" r:id="rId78" display="207.pdf"/>
    <hyperlink ref="J279" r:id="rId79" display="207.pdf"/>
    <hyperlink ref="J278" r:id="rId80" display="207.pdf"/>
    <hyperlink ref="J277" r:id="rId81" display="207.pdf"/>
    <hyperlink ref="J274" r:id="rId82"/>
    <hyperlink ref="J275" r:id="rId83"/>
    <hyperlink ref="J253" r:id="rId84" display="222.pdf"/>
    <hyperlink ref="J267" r:id="rId85" display="223.pdf"/>
    <hyperlink ref="J264" r:id="rId86" display="534.pdf"/>
    <hyperlink ref="J263" r:id="rId87" display="534.pdf"/>
    <hyperlink ref="J262" r:id="rId88" display="534.pdf"/>
    <hyperlink ref="J261" r:id="rId89" display="534.pdf"/>
    <hyperlink ref="J260" r:id="rId90" display="534.pdf"/>
    <hyperlink ref="J259" r:id="rId91" display="534.pdf"/>
    <hyperlink ref="J254" r:id="rId92" display="533.pdf"/>
    <hyperlink ref="J266" r:id="rId93" display="536.pdf"/>
    <hyperlink ref="J265" r:id="rId94" display="537.pdf"/>
    <hyperlink ref="J269" r:id="rId95" display="539.pdf"/>
    <hyperlink ref="J257" r:id="rId96" display="540.pdf"/>
    <hyperlink ref="J256" r:id="rId97" display="0538.pdf"/>
    <hyperlink ref="J247" r:id="rId98"/>
    <hyperlink ref="J244" r:id="rId99" display="545.pdf"/>
    <hyperlink ref="J245" r:id="rId100" display="546.pdf"/>
    <hyperlink ref="J248" r:id="rId101" display="547.pdf"/>
    <hyperlink ref="J251" r:id="rId102"/>
    <hyperlink ref="J258" r:id="rId103" display="540.pdf"/>
    <hyperlink ref="J268" r:id="rId104" display="Baja-556.pdf"/>
    <hyperlink ref="J229" r:id="rId105" display="555.pdf"/>
    <hyperlink ref="J230" r:id="rId106" display="554.pdf"/>
    <hyperlink ref="J252" r:id="rId107"/>
    <hyperlink ref="J243" r:id="rId108" display="558.pdf"/>
    <hyperlink ref="J238" r:id="rId109" display="562.pdf"/>
    <hyperlink ref="J237" r:id="rId110" display="562.pdf"/>
    <hyperlink ref="J236" r:id="rId111" display="562.pdf"/>
    <hyperlink ref="J235" r:id="rId112" display="562.pdf"/>
    <hyperlink ref="J233" r:id="rId113" display="562.pdf"/>
    <hyperlink ref="J232" r:id="rId114" display="562.pdf"/>
    <hyperlink ref="J241" r:id="rId115" display="Baja DN-0112.pdf"/>
    <hyperlink ref="J227" r:id="rId116" display="560.pdf"/>
    <hyperlink ref="J239" r:id="rId117" display="561.pdf"/>
    <hyperlink ref="J250" r:id="rId118" display="557.pdf"/>
    <hyperlink ref="J240" r:id="rId119" display="566.pdf"/>
    <hyperlink ref="J242" r:id="rId120" display="571.pdf"/>
    <hyperlink ref="J225" r:id="rId121" display="569.pdf"/>
    <hyperlink ref="J224" r:id="rId122" display="570.pdf"/>
    <hyperlink ref="J226" r:id="rId123"/>
    <hyperlink ref="J234" r:id="rId124" display="562.pdf"/>
    <hyperlink ref="J231" r:id="rId125" display="562.pdf"/>
    <hyperlink ref="J221" r:id="rId126" display="592.pdf"/>
    <hyperlink ref="J220" r:id="rId127" display="604.pdf"/>
    <hyperlink ref="J217" r:id="rId128" display="603.pdf"/>
    <hyperlink ref="J222" r:id="rId129" display="605.pdf"/>
    <hyperlink ref="J228" r:id="rId130" display="606.pdf"/>
    <hyperlink ref="J210" r:id="rId131" display="614.pdf"/>
    <hyperlink ref="J219" r:id="rId132" display="599.pdf"/>
    <hyperlink ref="J218" r:id="rId133" display="600.pdf"/>
    <hyperlink ref="J211" r:id="rId134" display="626.pdf"/>
    <hyperlink ref="J212" r:id="rId135" display="628.pdf"/>
    <hyperlink ref="J214" r:id="rId136" display="627.pdf"/>
    <hyperlink ref="J216" r:id="rId137" display="625.pdf"/>
    <hyperlink ref="J223" r:id="rId138" display="624.pdf"/>
    <hyperlink ref="J215" r:id="rId139"/>
    <hyperlink ref="J208" r:id="rId140" display="642.pdf"/>
    <hyperlink ref="J203" r:id="rId141" display="640.pdf"/>
    <hyperlink ref="J213" r:id="rId142" display="645.pdf"/>
    <hyperlink ref="J207" r:id="rId143" display="646 .pdf"/>
    <hyperlink ref="J201" r:id="rId144" display="648.pdf"/>
    <hyperlink ref="J206" r:id="rId145" display="659.pdf"/>
    <hyperlink ref="J196" r:id="rId146" display="660.pdf"/>
    <hyperlink ref="J195" r:id="rId147" display="660.pdf"/>
    <hyperlink ref="J194" r:id="rId148" display="660.pdf"/>
    <hyperlink ref="J193" r:id="rId149" display="660.pdf"/>
    <hyperlink ref="J197" r:id="rId150" display="663.pdf"/>
    <hyperlink ref="J190" r:id="rId151" display="664.pdf"/>
    <hyperlink ref="J191" r:id="rId152" display="662.pdf"/>
    <hyperlink ref="J199" r:id="rId153" display="671.pdf"/>
    <hyperlink ref="J198" r:id="rId154" display="672.pdf"/>
    <hyperlink ref="J200" r:id="rId155"/>
    <hyperlink ref="J204" r:id="rId156"/>
    <hyperlink ref="J189" r:id="rId157"/>
    <hyperlink ref="J182" r:id="rId158" display="684.pdf"/>
    <hyperlink ref="J205" r:id="rId159"/>
    <hyperlink ref="J192" r:id="rId160"/>
    <hyperlink ref="J181" r:id="rId161"/>
    <hyperlink ref="J188" r:id="rId162" display="703.pdf"/>
    <hyperlink ref="J185" r:id="rId163" display="704.pdf"/>
    <hyperlink ref="J178" r:id="rId164" display="706.pdf"/>
    <hyperlink ref="J179" r:id="rId165" display="707.pdf"/>
    <hyperlink ref="J187" r:id="rId166"/>
    <hyperlink ref="J184" r:id="rId167" display="696"/>
    <hyperlink ref="J174" r:id="rId168" display="698"/>
    <hyperlink ref="J175" r:id="rId169" display="697"/>
    <hyperlink ref="J186" r:id="rId170" display="701"/>
    <hyperlink ref="J176" r:id="rId171" display="714"/>
    <hyperlink ref="J163" r:id="rId172" display="715"/>
    <hyperlink ref="J164" r:id="rId173" display="716"/>
    <hyperlink ref="J183" r:id="rId174" display="720"/>
    <hyperlink ref="J170" r:id="rId175" display="727"/>
    <hyperlink ref="J180" r:id="rId176"/>
    <hyperlink ref="J155" r:id="rId177"/>
    <hyperlink ref="J167" r:id="rId178" display="735.pdf"/>
    <hyperlink ref="J156" r:id="rId179"/>
    <hyperlink ref="J162" r:id="rId180" display="730 y 731"/>
    <hyperlink ref="J168" r:id="rId181" display="734.pdf"/>
    <hyperlink ref="J154" r:id="rId182"/>
    <hyperlink ref="J153" r:id="rId183"/>
    <hyperlink ref="J159" r:id="rId184" display="744.pdf"/>
    <hyperlink ref="J160" r:id="rId185" display="743.pdf"/>
    <hyperlink ref="J173" r:id="rId186" display="745.pdf"/>
    <hyperlink ref="J161" r:id="rId187"/>
    <hyperlink ref="J177" r:id="rId188"/>
    <hyperlink ref="J246" r:id="rId189" display="548.pdf"/>
    <hyperlink ref="J249" r:id="rId190" display="537.pdf"/>
    <hyperlink ref="J255" r:id="rId191"/>
    <hyperlink ref="J209" r:id="rId192"/>
    <hyperlink ref="J152" r:id="rId193"/>
    <hyperlink ref="J150" r:id="rId194"/>
    <hyperlink ref="J166" r:id="rId195"/>
    <hyperlink ref="J165" r:id="rId196"/>
    <hyperlink ref="J158" r:id="rId197"/>
    <hyperlink ref="J157" r:id="rId198"/>
    <hyperlink ref="J149" r:id="rId199"/>
    <hyperlink ref="J148" r:id="rId200"/>
    <hyperlink ref="J172" r:id="rId201"/>
    <hyperlink ref="J145" r:id="rId202"/>
    <hyperlink ref="J151" r:id="rId203" display="764.pdf"/>
    <hyperlink ref="J147" r:id="rId204" display="762.pdf"/>
    <hyperlink ref="J144" r:id="rId205" display="763.pdf"/>
    <hyperlink ref="J143" r:id="rId206" display="766.pdf"/>
    <hyperlink ref="J142" r:id="rId207" display="765.pdf"/>
    <hyperlink ref="J171" r:id="rId208"/>
    <hyperlink ref="J169" r:id="rId209"/>
    <hyperlink ref="J146" r:id="rId210" display="759.pdf"/>
    <hyperlink ref="J136" r:id="rId211" display="775.pdf"/>
    <hyperlink ref="J139" r:id="rId212" display="782.pdf"/>
    <hyperlink ref="J134" r:id="rId213" display="781.pdf"/>
    <hyperlink ref="J133" r:id="rId214" display="783.pdf"/>
    <hyperlink ref="J137" r:id="rId215" display="790.pdf"/>
    <hyperlink ref="J135" r:id="rId216" display="797.pdf"/>
    <hyperlink ref="J126" r:id="rId217" display="806 (2).pdf"/>
    <hyperlink ref="J138" r:id="rId218"/>
    <hyperlink ref="J132" r:id="rId219"/>
    <hyperlink ref="J121" r:id="rId220" display="810.pdf"/>
    <hyperlink ref="J119" r:id="rId221" display="813.pdf"/>
    <hyperlink ref="J131" r:id="rId222" display="811.pdf"/>
    <hyperlink ref="J108" r:id="rId223"/>
    <hyperlink ref="J122" r:id="rId224" display="812 .pdf"/>
    <hyperlink ref="J117" r:id="rId225" display="814.pdf"/>
    <hyperlink ref="J124" r:id="rId226" display="816.pdf"/>
    <hyperlink ref="J141" r:id="rId227" display="828.pdf"/>
    <hyperlink ref="J127" r:id="rId228" display="829.pdf"/>
    <hyperlink ref="J110" r:id="rId229" display="830.pdf"/>
    <hyperlink ref="J116" r:id="rId230"/>
    <hyperlink ref="J128" r:id="rId231" display="826.pdf"/>
    <hyperlink ref="J112" r:id="rId232" display="827.pdf"/>
    <hyperlink ref="J140" r:id="rId233" display="825.pdf"/>
    <hyperlink ref="J130" r:id="rId234"/>
    <hyperlink ref="J129" r:id="rId235"/>
    <hyperlink ref="J105" r:id="rId236"/>
    <hyperlink ref="J98" r:id="rId237"/>
    <hyperlink ref="J120" r:id="rId238"/>
    <hyperlink ref="J125" r:id="rId239" display="815.pdf"/>
    <hyperlink ref="J109" r:id="rId240"/>
    <hyperlink ref="J114" r:id="rId241" display="858.pdf"/>
    <hyperlink ref="J104" r:id="rId242" display="861.pdf"/>
    <hyperlink ref="J115" r:id="rId243"/>
    <hyperlink ref="J111" r:id="rId244"/>
    <hyperlink ref="J123" r:id="rId245"/>
    <hyperlink ref="J99" r:id="rId246" display="869.pdf"/>
    <hyperlink ref="J101" r:id="rId247" display="878.pdf"/>
    <hyperlink ref="J113" r:id="rId248" display="879.pdf"/>
    <hyperlink ref="J102" r:id="rId249" display="880.pdf"/>
    <hyperlink ref="J118" r:id="rId250" display="881.pdf"/>
    <hyperlink ref="J95" r:id="rId251" display="873.pdf"/>
    <hyperlink ref="J103" r:id="rId252"/>
    <hyperlink ref="J97" r:id="rId253" display="889.pdf"/>
    <hyperlink ref="J100" r:id="rId254" display="894.pdf"/>
    <hyperlink ref="J94" r:id="rId255" display="895.pdf"/>
    <hyperlink ref="J96" r:id="rId256" display="898.pdf"/>
    <hyperlink ref="J93" r:id="rId257" display="899.pdf"/>
    <hyperlink ref="J107" r:id="rId258" display="900.pdf"/>
    <hyperlink ref="J72" r:id="rId259" display="901.pdf"/>
    <hyperlink ref="J88" r:id="rId260" display="902 (2).pdf"/>
    <hyperlink ref="J87" r:id="rId261" display="902 (2).pdf"/>
    <hyperlink ref="J86" r:id="rId262" display="902 (2).pdf"/>
    <hyperlink ref="J85" r:id="rId263" display="902 (2).pdf"/>
    <hyperlink ref="J84" r:id="rId264" display="902 (2).pdf"/>
    <hyperlink ref="J71" r:id="rId265" display="903.pdf"/>
    <hyperlink ref="J82" r:id="rId266" display="904.pdf"/>
    <hyperlink ref="J81" r:id="rId267" display="905.pdf"/>
    <hyperlink ref="J89" r:id="rId268" display="906.pdf"/>
    <hyperlink ref="J90" r:id="rId269" display="906.pdf"/>
    <hyperlink ref="J91" r:id="rId270" display="906.pdf"/>
    <hyperlink ref="J92" r:id="rId271" display="906.pdf"/>
    <hyperlink ref="J83" r:id="rId272" display="906.pdf"/>
    <hyperlink ref="J76" r:id="rId273" display="907.pdf"/>
    <hyperlink ref="J69" r:id="rId274" display="917.pdf"/>
    <hyperlink ref="J77" r:id="rId275" display="916.pdf"/>
    <hyperlink ref="J80" r:id="rId276"/>
    <hyperlink ref="J73" r:id="rId277" display="928.pdf"/>
    <hyperlink ref="J70" r:id="rId278" display="929.pdf"/>
    <hyperlink ref="J74" r:id="rId279" display="934.pdf"/>
    <hyperlink ref="J75" r:id="rId280" display="937.pdf"/>
    <hyperlink ref="J49" r:id="rId281" display="946 .pdf"/>
    <hyperlink ref="J48" r:id="rId282" display="947.pdf"/>
    <hyperlink ref="J68" r:id="rId283" display="952.pdf"/>
    <hyperlink ref="J67" r:id="rId284" display="953.pdf"/>
    <hyperlink ref="J78" r:id="rId285" display="954.pdf"/>
    <hyperlink ref="J64" r:id="rId286" display="955.pdf"/>
    <hyperlink ref="J63" r:id="rId287" display="955.pdf"/>
    <hyperlink ref="J51" r:id="rId288" display="956.pdf"/>
    <hyperlink ref="J52" r:id="rId289" display="956.pdf"/>
    <hyperlink ref="J53" r:id="rId290" display="956.pdf"/>
    <hyperlink ref="J54" r:id="rId291" display="956.pdf"/>
    <hyperlink ref="J55" r:id="rId292" display="956.pdf"/>
    <hyperlink ref="J56" r:id="rId293" display="957.pdf"/>
    <hyperlink ref="J57" r:id="rId294" display="957.pdf"/>
    <hyperlink ref="J58" r:id="rId295" display="958.pdf"/>
    <hyperlink ref="J59" r:id="rId296" display="958.pdf"/>
    <hyperlink ref="J60" r:id="rId297" display="958.pdf"/>
    <hyperlink ref="J61" r:id="rId298" display="958.pdf"/>
    <hyperlink ref="J62" r:id="rId299" display="958.pdf"/>
    <hyperlink ref="J31" r:id="rId300" display="969.pdf"/>
    <hyperlink ref="J35" r:id="rId301" display="968.pdf"/>
    <hyperlink ref="J37" r:id="rId302" display="970.pdf"/>
    <hyperlink ref="J36" r:id="rId303" display="971.pdf"/>
    <hyperlink ref="J50" r:id="rId304" display="972.pdf"/>
    <hyperlink ref="J38" r:id="rId305" display="972.pdf"/>
    <hyperlink ref="J46" r:id="rId306" display="973.pdf"/>
    <hyperlink ref="J45" r:id="rId307" display="973.pdf"/>
    <hyperlink ref="J44" r:id="rId308" display="973.pdf"/>
    <hyperlink ref="J42" r:id="rId309" display="973.pdf"/>
    <hyperlink ref="J43" r:id="rId310" display="974.pdf"/>
    <hyperlink ref="J41" r:id="rId311" display="974.pdf"/>
    <hyperlink ref="J40" r:id="rId312" display="974.pdf"/>
    <hyperlink ref="J33" r:id="rId313" display="983.pdf"/>
    <hyperlink ref="J32" r:id="rId314" display="984.pdf"/>
    <hyperlink ref="J39" r:id="rId315"/>
    <hyperlink ref="J47" r:id="rId316"/>
    <hyperlink ref="J13" r:id="rId317"/>
    <hyperlink ref="J23" r:id="rId318" display="1011 .pdf"/>
    <hyperlink ref="J29" r:id="rId319" display="1012.pdf"/>
    <hyperlink ref="J27" r:id="rId320" display="1013.pdf"/>
    <hyperlink ref="J24" r:id="rId321" display="1014.pdf"/>
    <hyperlink ref="J28" r:id="rId322"/>
    <hyperlink ref="J25" r:id="rId323" display="1025.pdf"/>
    <hyperlink ref="J26" r:id="rId324" display="1026.pdf"/>
    <hyperlink ref="J21" r:id="rId325" display="1027.pdf"/>
    <hyperlink ref="J9" r:id="rId326" display="1021.pdf"/>
    <hyperlink ref="J5" r:id="rId327" display="1019.pdf"/>
    <hyperlink ref="J22" r:id="rId328" display="1020.pdf"/>
    <hyperlink ref="J4" r:id="rId329" display="1022.pdf"/>
    <hyperlink ref="J10" r:id="rId330" display="1018"/>
    <hyperlink ref="J12" r:id="rId331" display="1012"/>
    <hyperlink ref="J6" r:id="rId332" display="1030.pdf"/>
    <hyperlink ref="J15" r:id="rId333" display="1032.pdf"/>
    <hyperlink ref="J14" r:id="rId334" display="1032.pdf"/>
    <hyperlink ref="J19" r:id="rId335" display="1033.pdf"/>
    <hyperlink ref="J18" r:id="rId336" display="1033.pdf"/>
    <hyperlink ref="J17" r:id="rId337" display="1033.pdf"/>
    <hyperlink ref="J16" r:id="rId338" display="1033.pdf"/>
    <hyperlink ref="J3" r:id="rId339" display="1031.pdf"/>
    <hyperlink ref="J20" r:id="rId340"/>
    <hyperlink ref="J30" r:id="rId341" display="1024.pdf"/>
  </hyperlinks>
  <pageMargins left="0.82622047244094488" right="0.23622047244094491" top="0.74803149606299213" bottom="0.74803149606299213" header="0.31496062992125984" footer="0.31496062992125984"/>
  <pageSetup scale="48" orientation="landscape" r:id="rId342"/>
  <colBreaks count="1" manualBreakCount="1">
    <brk id="18" max="1048575" man="1"/>
  </colBreak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'Gestor de Información'!$A$49:$A$50</xm:f>
          </x14:formula1>
          <xm:sqref>M29</xm:sqref>
        </x14:dataValidation>
        <x14:dataValidation type="list" allowBlank="1" showInputMessage="1" showErrorMessage="1">
          <x14:formula1>
            <xm:f>'Gestor de Información'!$A$49:$A$50</xm:f>
          </x14:formula1>
          <xm:sqref>M110</xm:sqref>
        </x14:dataValidation>
        <x14:dataValidation type="list" allowBlank="1" showInputMessage="1" showErrorMessage="1">
          <x14:formula1>
            <xm:f>'Gestor de Información'!$A$49:$A$50</xm:f>
          </x14:formula1>
          <xm:sqref>M116</xm:sqref>
        </x14:dataValidation>
        <x14:dataValidation type="list" allowBlank="1" showInputMessage="1" showErrorMessage="1">
          <x14:formula1>
            <xm:f>'Gestor de Información'!$A$49:$A$50</xm:f>
          </x14:formula1>
          <xm:sqref>M145</xm:sqref>
        </x14:dataValidation>
        <x14:dataValidation type="list" allowBlank="1" showInputMessage="1" showErrorMessage="1">
          <x14:formula1>
            <xm:f>'Gestor de Información'!$A$49:$A$50</xm:f>
          </x14:formula1>
          <xm:sqref>M160</xm:sqref>
        </x14:dataValidation>
        <x14:dataValidation type="list" allowBlank="1" showInputMessage="1" showErrorMessage="1">
          <x14:formula1>
            <xm:f>'Gestor de Información'!$A$49:$A$50</xm:f>
          </x14:formula1>
          <xm:sqref>M159</xm:sqref>
        </x14:dataValidation>
        <x14:dataValidation type="list" allowBlank="1" showInputMessage="1" showErrorMessage="1">
          <x14:formula1>
            <xm:f>'Gestor de Información'!$A$49:$A$50</xm:f>
          </x14:formula1>
          <xm:sqref>M162</xm:sqref>
        </x14:dataValidation>
        <x14:dataValidation type="list" allowBlank="1" showInputMessage="1" showErrorMessage="1">
          <x14:formula1>
            <xm:f>'Gestor de Información'!$A$49:$A$50</xm:f>
          </x14:formula1>
          <xm:sqref>M161</xm:sqref>
        </x14:dataValidation>
        <x14:dataValidation type="list" allowBlank="1" showInputMessage="1" showErrorMessage="1">
          <x14:formula1>
            <xm:f>'Gestor de Información'!$A$49:$A$50</xm:f>
          </x14:formula1>
          <xm:sqref>M188</xm:sqref>
        </x14:dataValidation>
        <x14:dataValidation type="list" allowBlank="1" showInputMessage="1" showErrorMessage="1">
          <x14:formula1>
            <xm:f>'Gestor de Información'!$A$49:$A$50</xm:f>
          </x14:formula1>
          <xm:sqref>M333:M340</xm:sqref>
        </x14:dataValidation>
        <x14:dataValidation type="list" allowBlank="1" showInputMessage="1" showErrorMessage="1">
          <x14:formula1>
            <xm:f>'Gestor de Información'!$A$49:$A$50</xm:f>
          </x14:formula1>
          <xm:sqref>M341:M342</xm:sqref>
        </x14:dataValidation>
        <x14:dataValidation type="list" allowBlank="1" showInputMessage="1" showErrorMessage="1">
          <x14:formula1>
            <xm:f>'Gestor de Información'!$A$49:$A$50</xm:f>
          </x14:formula1>
          <xm:sqref>M343:M353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>
    <tabColor theme="2" tint="-0.749992370372631"/>
  </sheetPr>
  <dimension ref="B1:AS47"/>
  <sheetViews>
    <sheetView topLeftCell="A7" workbookViewId="0">
      <selection activeCell="T16" sqref="T16"/>
    </sheetView>
  </sheetViews>
  <sheetFormatPr baseColWidth="10" defaultRowHeight="15"/>
  <cols>
    <col min="2" max="2" width="28.5703125" customWidth="1"/>
    <col min="3" max="3" width="15.85546875" customWidth="1"/>
    <col min="12" max="12" width="11.42578125" style="5"/>
    <col min="15" max="15" width="11.85546875" customWidth="1"/>
    <col min="16" max="16" width="0" hidden="1" customWidth="1"/>
    <col min="17" max="18" width="11.5703125" bestFit="1" customWidth="1"/>
    <col min="20" max="22" width="11.42578125" style="5"/>
    <col min="25" max="25" width="12.5703125" bestFit="1" customWidth="1"/>
    <col min="26" max="26" width="11.85546875" bestFit="1" customWidth="1"/>
    <col min="29" max="30" width="11.42578125" style="5"/>
    <col min="41" max="41" width="0" hidden="1" customWidth="1"/>
  </cols>
  <sheetData>
    <row r="1" spans="2:45" ht="15" customHeight="1">
      <c r="N1" s="5"/>
      <c r="O1" s="5"/>
      <c r="P1" s="5"/>
      <c r="Q1" s="5"/>
      <c r="R1" s="5"/>
      <c r="S1" s="5"/>
      <c r="W1" s="5"/>
      <c r="X1" s="5"/>
      <c r="Y1" s="141" t="s">
        <v>934</v>
      </c>
      <c r="Z1" s="141"/>
      <c r="AA1" s="141"/>
      <c r="AB1" s="141"/>
      <c r="AC1" s="141"/>
      <c r="AD1" s="141"/>
      <c r="AE1" s="141"/>
      <c r="AF1" s="5"/>
    </row>
    <row r="2" spans="2:45" ht="15" customHeight="1">
      <c r="N2" s="5"/>
      <c r="O2" s="141" t="s">
        <v>933</v>
      </c>
      <c r="P2" s="141"/>
      <c r="Q2" s="141"/>
      <c r="R2" s="141"/>
      <c r="S2" s="141"/>
      <c r="T2" s="141"/>
      <c r="U2" s="141"/>
      <c r="V2" s="141"/>
      <c r="W2" s="38"/>
      <c r="X2" s="5"/>
      <c r="Y2" s="141"/>
      <c r="Z2" s="141"/>
      <c r="AA2" s="141"/>
      <c r="AB2" s="141"/>
      <c r="AC2" s="141"/>
      <c r="AD2" s="141"/>
      <c r="AE2" s="141"/>
      <c r="AF2" s="5"/>
      <c r="AQ2" s="35"/>
      <c r="AR2" s="35"/>
      <c r="AS2" s="35"/>
    </row>
    <row r="3" spans="2:45">
      <c r="B3" s="13" t="s">
        <v>213</v>
      </c>
      <c r="C3" s="38" t="s">
        <v>216</v>
      </c>
      <c r="N3" s="5"/>
      <c r="O3" s="5"/>
      <c r="P3" s="42">
        <v>2010</v>
      </c>
      <c r="Q3" s="42">
        <v>2011</v>
      </c>
      <c r="R3" s="42">
        <v>2012</v>
      </c>
      <c r="S3" s="42">
        <v>2013</v>
      </c>
      <c r="T3" s="44">
        <v>2014</v>
      </c>
      <c r="U3" s="75">
        <v>2015</v>
      </c>
      <c r="V3" s="38" t="s">
        <v>217</v>
      </c>
      <c r="W3" s="38"/>
      <c r="X3" s="5"/>
      <c r="Y3" s="5"/>
      <c r="Z3" s="42">
        <v>2011</v>
      </c>
      <c r="AA3" s="42">
        <v>2012</v>
      </c>
      <c r="AB3" s="42">
        <v>2013</v>
      </c>
      <c r="AC3" s="46">
        <v>2014</v>
      </c>
      <c r="AD3" s="75">
        <v>2015</v>
      </c>
      <c r="AE3" s="38" t="s">
        <v>217</v>
      </c>
      <c r="AF3" s="5"/>
      <c r="AN3" s="5"/>
      <c r="AO3" s="35"/>
      <c r="AP3" s="35"/>
      <c r="AQ3" s="35"/>
      <c r="AS3" s="35"/>
    </row>
    <row r="4" spans="2:45">
      <c r="B4" s="8" t="s">
        <v>142</v>
      </c>
      <c r="C4" s="9">
        <v>16</v>
      </c>
      <c r="N4" s="5"/>
      <c r="O4" s="5" t="s">
        <v>200</v>
      </c>
      <c r="P4" s="5">
        <v>45</v>
      </c>
      <c r="Q4" s="5">
        <v>69</v>
      </c>
      <c r="R4" s="5">
        <v>41</v>
      </c>
      <c r="S4" s="5">
        <v>46</v>
      </c>
      <c r="T4" s="5">
        <v>44</v>
      </c>
      <c r="U4" s="5">
        <v>25</v>
      </c>
      <c r="V4" s="15">
        <f t="shared" ref="V4:V15" si="0">(U4/T4)-1</f>
        <v>-0.43181818181818177</v>
      </c>
      <c r="W4" s="15"/>
      <c r="X4" s="5"/>
      <c r="Y4" s="5" t="s">
        <v>200</v>
      </c>
      <c r="Z4" s="5">
        <v>28</v>
      </c>
      <c r="AA4" s="5">
        <v>4</v>
      </c>
      <c r="AB4" s="5">
        <v>6</v>
      </c>
      <c r="AC4" s="5">
        <v>8</v>
      </c>
      <c r="AD4" s="5">
        <v>8</v>
      </c>
      <c r="AE4" s="32">
        <f t="shared" ref="AE4:AE15" si="1">(AD4/AC4)-1</f>
        <v>0</v>
      </c>
      <c r="AF4" s="5"/>
      <c r="AN4" s="34"/>
      <c r="AP4" s="36"/>
      <c r="AQ4" s="35"/>
      <c r="AS4" s="35"/>
    </row>
    <row r="5" spans="2:45">
      <c r="B5" s="8" t="s">
        <v>140</v>
      </c>
      <c r="C5" s="9">
        <v>9</v>
      </c>
      <c r="N5" s="5"/>
      <c r="O5" s="5" t="s">
        <v>201</v>
      </c>
      <c r="P5" s="5">
        <v>53</v>
      </c>
      <c r="Q5" s="5">
        <v>39</v>
      </c>
      <c r="R5" s="5">
        <v>37</v>
      </c>
      <c r="S5" s="5">
        <v>40</v>
      </c>
      <c r="T5" s="5">
        <v>51</v>
      </c>
      <c r="U5" s="5">
        <v>33</v>
      </c>
      <c r="V5" s="15">
        <f t="shared" si="0"/>
        <v>-0.3529411764705882</v>
      </c>
      <c r="W5" s="31"/>
      <c r="X5" s="5"/>
      <c r="Y5" s="5" t="s">
        <v>201</v>
      </c>
      <c r="Z5" s="5">
        <v>15</v>
      </c>
      <c r="AA5" s="5">
        <v>5</v>
      </c>
      <c r="AB5" s="5">
        <v>4</v>
      </c>
      <c r="AC5" s="5">
        <v>7</v>
      </c>
      <c r="AD5" s="5">
        <v>7</v>
      </c>
      <c r="AE5" s="32">
        <f t="shared" si="1"/>
        <v>0</v>
      </c>
      <c r="AF5" s="5"/>
      <c r="AN5" s="34"/>
      <c r="AP5" s="36"/>
      <c r="AQ5" s="35"/>
      <c r="AS5" s="35"/>
    </row>
    <row r="6" spans="2:45">
      <c r="B6" s="8" t="s">
        <v>155</v>
      </c>
      <c r="C6" s="9">
        <v>8</v>
      </c>
      <c r="N6" s="5"/>
      <c r="O6" s="5" t="s">
        <v>202</v>
      </c>
      <c r="P6" s="5">
        <v>70</v>
      </c>
      <c r="Q6" s="5">
        <v>43</v>
      </c>
      <c r="R6" s="5">
        <v>56</v>
      </c>
      <c r="S6" s="5">
        <v>32</v>
      </c>
      <c r="T6" s="5">
        <v>40</v>
      </c>
      <c r="U6" s="5">
        <v>25</v>
      </c>
      <c r="V6" s="15">
        <f t="shared" si="0"/>
        <v>-0.375</v>
      </c>
      <c r="W6" s="15"/>
      <c r="X6" s="5"/>
      <c r="Y6" s="5" t="s">
        <v>202</v>
      </c>
      <c r="Z6" s="5">
        <v>14</v>
      </c>
      <c r="AA6" s="5">
        <v>7</v>
      </c>
      <c r="AB6" s="5">
        <v>4</v>
      </c>
      <c r="AC6" s="5">
        <v>5</v>
      </c>
      <c r="AD6" s="5">
        <v>6</v>
      </c>
      <c r="AE6" s="32">
        <f t="shared" si="1"/>
        <v>0.19999999999999996</v>
      </c>
      <c r="AF6" s="5"/>
      <c r="AN6" s="34"/>
      <c r="AP6" s="36"/>
      <c r="AQ6" s="35"/>
      <c r="AS6" s="35"/>
    </row>
    <row r="7" spans="2:45">
      <c r="B7" s="8" t="s">
        <v>439</v>
      </c>
      <c r="C7" s="9">
        <v>1</v>
      </c>
      <c r="N7" s="5"/>
      <c r="O7" s="5" t="s">
        <v>203</v>
      </c>
      <c r="P7" s="5">
        <v>53</v>
      </c>
      <c r="Q7" s="5">
        <v>66</v>
      </c>
      <c r="R7" s="5">
        <v>57</v>
      </c>
      <c r="S7" s="5">
        <v>29</v>
      </c>
      <c r="T7" s="5">
        <v>43</v>
      </c>
      <c r="U7" s="5">
        <v>27</v>
      </c>
      <c r="V7" s="15">
        <f t="shared" si="0"/>
        <v>-0.37209302325581395</v>
      </c>
      <c r="W7" s="15"/>
      <c r="X7" s="5"/>
      <c r="Y7" s="5" t="s">
        <v>203</v>
      </c>
      <c r="Z7" s="5">
        <v>13</v>
      </c>
      <c r="AA7" s="5">
        <v>4</v>
      </c>
      <c r="AB7" s="5">
        <v>4</v>
      </c>
      <c r="AC7" s="5">
        <v>8</v>
      </c>
      <c r="AD7" s="5">
        <v>5</v>
      </c>
      <c r="AE7" s="32">
        <f t="shared" si="1"/>
        <v>-0.375</v>
      </c>
      <c r="AF7" s="5"/>
      <c r="AN7" s="34"/>
      <c r="AP7" s="36"/>
      <c r="AQ7" s="35"/>
      <c r="AS7" s="35"/>
    </row>
    <row r="8" spans="2:45">
      <c r="B8" s="8" t="s">
        <v>502</v>
      </c>
      <c r="C8" s="9">
        <v>1</v>
      </c>
      <c r="N8" s="5"/>
      <c r="O8" s="5" t="s">
        <v>204</v>
      </c>
      <c r="P8" s="5">
        <v>52</v>
      </c>
      <c r="Q8" s="5">
        <v>53</v>
      </c>
      <c r="R8" s="5">
        <v>40</v>
      </c>
      <c r="S8" s="5">
        <v>40</v>
      </c>
      <c r="T8" s="5">
        <v>37</v>
      </c>
      <c r="U8" s="5">
        <v>28</v>
      </c>
      <c r="V8" s="15">
        <f t="shared" si="0"/>
        <v>-0.2432432432432432</v>
      </c>
      <c r="W8" s="15"/>
      <c r="X8" s="5"/>
      <c r="Y8" s="5" t="s">
        <v>204</v>
      </c>
      <c r="Z8" s="5">
        <v>9</v>
      </c>
      <c r="AA8" s="5">
        <v>3</v>
      </c>
      <c r="AB8" s="5">
        <v>5</v>
      </c>
      <c r="AC8" s="5">
        <v>10</v>
      </c>
      <c r="AD8" s="5">
        <v>4</v>
      </c>
      <c r="AE8" s="32">
        <f t="shared" si="1"/>
        <v>-0.6</v>
      </c>
      <c r="AF8" s="5"/>
      <c r="AN8" s="34"/>
      <c r="AP8" s="36"/>
      <c r="AQ8" s="35"/>
      <c r="AS8" s="35"/>
    </row>
    <row r="9" spans="2:45">
      <c r="B9" s="8" t="s">
        <v>161</v>
      </c>
      <c r="C9" s="9">
        <v>4</v>
      </c>
      <c r="N9" s="5"/>
      <c r="O9" s="5" t="s">
        <v>205</v>
      </c>
      <c r="P9" s="5">
        <v>34</v>
      </c>
      <c r="Q9" s="5">
        <v>73</v>
      </c>
      <c r="R9" s="5">
        <v>58</v>
      </c>
      <c r="S9" s="5">
        <v>53</v>
      </c>
      <c r="T9" s="5">
        <v>33</v>
      </c>
      <c r="U9" s="5">
        <v>22</v>
      </c>
      <c r="V9" s="15">
        <f t="shared" si="0"/>
        <v>-0.33333333333333337</v>
      </c>
      <c r="W9" s="15"/>
      <c r="X9" s="5"/>
      <c r="Y9" s="5" t="s">
        <v>205</v>
      </c>
      <c r="Z9" s="5">
        <v>9</v>
      </c>
      <c r="AA9" s="5">
        <v>6</v>
      </c>
      <c r="AB9" s="5">
        <v>5</v>
      </c>
      <c r="AC9" s="5">
        <v>6</v>
      </c>
      <c r="AD9" s="5">
        <v>6</v>
      </c>
      <c r="AE9" s="32">
        <f t="shared" si="1"/>
        <v>0</v>
      </c>
      <c r="AF9" s="5"/>
      <c r="AN9" s="34"/>
      <c r="AP9" s="36"/>
    </row>
    <row r="10" spans="2:45">
      <c r="B10" s="8" t="s">
        <v>148</v>
      </c>
      <c r="C10" s="9">
        <v>3</v>
      </c>
      <c r="N10" s="5"/>
      <c r="O10" s="5" t="s">
        <v>206</v>
      </c>
      <c r="P10" s="5">
        <v>52</v>
      </c>
      <c r="Q10" s="5">
        <v>66</v>
      </c>
      <c r="R10" s="5">
        <v>57</v>
      </c>
      <c r="S10" s="5">
        <v>34</v>
      </c>
      <c r="T10" s="5">
        <v>30</v>
      </c>
      <c r="U10" s="5">
        <v>28</v>
      </c>
      <c r="V10" s="15">
        <f t="shared" si="0"/>
        <v>-6.6666666666666652E-2</v>
      </c>
      <c r="W10" s="15"/>
      <c r="X10" s="5"/>
      <c r="Y10" s="5" t="s">
        <v>206</v>
      </c>
      <c r="Z10" s="5">
        <v>5</v>
      </c>
      <c r="AA10" s="5">
        <v>6</v>
      </c>
      <c r="AB10" s="5">
        <v>4</v>
      </c>
      <c r="AC10" s="5">
        <v>7</v>
      </c>
      <c r="AD10" s="5">
        <v>3</v>
      </c>
      <c r="AE10" s="32">
        <f t="shared" si="1"/>
        <v>-0.5714285714285714</v>
      </c>
      <c r="AF10" s="5"/>
    </row>
    <row r="11" spans="2:45">
      <c r="B11" s="8" t="s">
        <v>507</v>
      </c>
      <c r="C11" s="9">
        <v>1</v>
      </c>
      <c r="N11" s="5"/>
      <c r="O11" s="5" t="s">
        <v>207</v>
      </c>
      <c r="P11" s="5">
        <v>84</v>
      </c>
      <c r="Q11" s="5">
        <v>82</v>
      </c>
      <c r="R11" s="5">
        <v>89</v>
      </c>
      <c r="S11" s="5">
        <v>39</v>
      </c>
      <c r="T11" s="5">
        <v>20</v>
      </c>
      <c r="U11" s="5">
        <v>27</v>
      </c>
      <c r="V11" s="15">
        <f t="shared" si="0"/>
        <v>0.35000000000000009</v>
      </c>
      <c r="W11" s="15"/>
      <c r="X11" s="5"/>
      <c r="Y11" s="5" t="s">
        <v>207</v>
      </c>
      <c r="Z11" s="5">
        <v>7</v>
      </c>
      <c r="AA11" s="5">
        <v>4</v>
      </c>
      <c r="AB11" s="5">
        <v>4</v>
      </c>
      <c r="AC11" s="5">
        <v>7</v>
      </c>
      <c r="AD11" s="5">
        <v>5</v>
      </c>
      <c r="AE11" s="32">
        <f t="shared" si="1"/>
        <v>-0.2857142857142857</v>
      </c>
      <c r="AF11" s="5"/>
    </row>
    <row r="12" spans="2:45">
      <c r="B12" s="8" t="s">
        <v>530</v>
      </c>
      <c r="C12" s="9">
        <v>2</v>
      </c>
      <c r="N12" s="5"/>
      <c r="O12" s="5" t="s">
        <v>208</v>
      </c>
      <c r="P12" s="5">
        <v>99</v>
      </c>
      <c r="Q12" s="5">
        <v>86</v>
      </c>
      <c r="R12" s="5">
        <v>61</v>
      </c>
      <c r="S12" s="5">
        <v>52</v>
      </c>
      <c r="T12" s="5">
        <v>44</v>
      </c>
      <c r="U12" s="5">
        <v>31</v>
      </c>
      <c r="V12" s="15">
        <f t="shared" si="0"/>
        <v>-0.29545454545454541</v>
      </c>
      <c r="W12" s="15"/>
      <c r="X12" s="5"/>
      <c r="Y12" s="5" t="s">
        <v>208</v>
      </c>
      <c r="Z12" s="5">
        <v>16</v>
      </c>
      <c r="AA12" s="5">
        <v>5</v>
      </c>
      <c r="AB12" s="5">
        <v>4</v>
      </c>
      <c r="AC12" s="5">
        <v>7</v>
      </c>
      <c r="AD12" s="5">
        <v>7</v>
      </c>
      <c r="AE12" s="32">
        <f t="shared" si="1"/>
        <v>0</v>
      </c>
      <c r="AF12" s="5"/>
    </row>
    <row r="13" spans="2:45">
      <c r="B13" s="8" t="s">
        <v>424</v>
      </c>
      <c r="C13" s="9">
        <v>3</v>
      </c>
      <c r="N13" s="5"/>
      <c r="O13" s="5" t="s">
        <v>209</v>
      </c>
      <c r="P13" s="5">
        <v>43</v>
      </c>
      <c r="Q13" s="5">
        <v>76</v>
      </c>
      <c r="R13" s="5">
        <v>68</v>
      </c>
      <c r="S13" s="5">
        <v>36</v>
      </c>
      <c r="T13" s="5">
        <v>30</v>
      </c>
      <c r="U13" s="5">
        <v>56</v>
      </c>
      <c r="V13" s="15">
        <f t="shared" si="0"/>
        <v>0.8666666666666667</v>
      </c>
      <c r="W13" s="15"/>
      <c r="X13" s="5"/>
      <c r="Y13" s="5" t="s">
        <v>209</v>
      </c>
      <c r="Z13" s="5">
        <v>13</v>
      </c>
      <c r="AA13" s="5">
        <v>3</v>
      </c>
      <c r="AB13" s="5">
        <v>4</v>
      </c>
      <c r="AC13" s="5">
        <v>9</v>
      </c>
      <c r="AD13" s="5">
        <v>4</v>
      </c>
      <c r="AE13" s="32">
        <f t="shared" si="1"/>
        <v>-0.55555555555555558</v>
      </c>
      <c r="AF13" s="5"/>
    </row>
    <row r="14" spans="2:45">
      <c r="B14" s="8" t="s">
        <v>144</v>
      </c>
      <c r="C14" s="9">
        <v>16</v>
      </c>
      <c r="N14" s="5"/>
      <c r="O14" s="5" t="s">
        <v>210</v>
      </c>
      <c r="P14" s="5">
        <v>36</v>
      </c>
      <c r="Q14" s="5">
        <v>61</v>
      </c>
      <c r="R14" s="5">
        <v>53</v>
      </c>
      <c r="S14" s="5">
        <v>19</v>
      </c>
      <c r="T14" s="5">
        <v>35</v>
      </c>
      <c r="U14" s="5">
        <v>24</v>
      </c>
      <c r="V14" s="15">
        <f t="shared" si="0"/>
        <v>-0.31428571428571428</v>
      </c>
      <c r="W14" s="15"/>
      <c r="X14" s="5"/>
      <c r="Y14" s="5" t="s">
        <v>210</v>
      </c>
      <c r="Z14" s="5">
        <v>8</v>
      </c>
      <c r="AA14" s="5">
        <v>3</v>
      </c>
      <c r="AB14" s="5">
        <v>4</v>
      </c>
      <c r="AC14" s="5">
        <v>3</v>
      </c>
      <c r="AD14" s="5">
        <v>7</v>
      </c>
      <c r="AE14" s="32">
        <f t="shared" si="1"/>
        <v>1.3333333333333335</v>
      </c>
      <c r="AF14" s="5"/>
    </row>
    <row r="15" spans="2:45">
      <c r="B15" s="8" t="s">
        <v>513</v>
      </c>
      <c r="C15" s="9">
        <v>1</v>
      </c>
      <c r="N15" s="5"/>
      <c r="O15" s="5" t="s">
        <v>211</v>
      </c>
      <c r="P15" s="5">
        <v>54</v>
      </c>
      <c r="Q15" s="5">
        <v>56</v>
      </c>
      <c r="R15" s="5">
        <v>29</v>
      </c>
      <c r="S15" s="5">
        <v>18</v>
      </c>
      <c r="T15" s="5">
        <v>26</v>
      </c>
      <c r="U15" s="5">
        <v>24</v>
      </c>
      <c r="V15" s="15">
        <f t="shared" si="0"/>
        <v>-7.6923076923076872E-2</v>
      </c>
      <c r="W15" s="15"/>
      <c r="X15" s="5"/>
      <c r="Y15" s="5" t="s">
        <v>211</v>
      </c>
      <c r="Z15" s="5">
        <v>11</v>
      </c>
      <c r="AA15" s="5">
        <v>7</v>
      </c>
      <c r="AB15" s="5">
        <v>5</v>
      </c>
      <c r="AC15" s="5">
        <v>5</v>
      </c>
      <c r="AD15" s="5">
        <v>4</v>
      </c>
      <c r="AE15" s="32">
        <f t="shared" si="1"/>
        <v>-0.19999999999999996</v>
      </c>
      <c r="AF15" s="5"/>
    </row>
    <row r="16" spans="2:45">
      <c r="B16" s="8" t="s">
        <v>138</v>
      </c>
      <c r="C16" s="9">
        <v>2</v>
      </c>
      <c r="N16" s="5"/>
      <c r="O16" s="5" t="s">
        <v>212</v>
      </c>
      <c r="P16" s="5">
        <f t="shared" ref="P16:U16" si="2">SUM(P4:P15)</f>
        <v>675</v>
      </c>
      <c r="Q16" s="5">
        <f t="shared" si="2"/>
        <v>770</v>
      </c>
      <c r="R16" s="5">
        <f t="shared" si="2"/>
        <v>646</v>
      </c>
      <c r="S16" s="5">
        <f t="shared" si="2"/>
        <v>438</v>
      </c>
      <c r="T16" s="5">
        <f t="shared" si="2"/>
        <v>433</v>
      </c>
      <c r="U16" s="5">
        <f t="shared" si="2"/>
        <v>350</v>
      </c>
      <c r="V16" s="15">
        <f>(U16/T16)-1</f>
        <v>-0.19168591224018472</v>
      </c>
      <c r="W16" s="15"/>
      <c r="X16" s="142" t="s">
        <v>265</v>
      </c>
      <c r="Y16" s="142"/>
      <c r="Z16" s="12">
        <f>AVERAGE(Z4:Z15)</f>
        <v>12.333333333333334</v>
      </c>
      <c r="AA16" s="12">
        <f>AVERAGE(AA4:AA15)</f>
        <v>4.75</v>
      </c>
      <c r="AB16" s="12">
        <f>AVERAGE(AB4:AB15)</f>
        <v>4.416666666666667</v>
      </c>
      <c r="AC16" s="12">
        <f>AVERAGE(AC4:AC15)</f>
        <v>6.833333333333333</v>
      </c>
      <c r="AD16" s="12">
        <f>AVERAGE(AD4:AD15)</f>
        <v>5.5</v>
      </c>
      <c r="AE16" s="32">
        <f>(AD16/AC16)-1</f>
        <v>-0.19512195121951215</v>
      </c>
      <c r="AF16" s="5"/>
    </row>
    <row r="17" spans="2:35">
      <c r="B17" s="8" t="s">
        <v>156</v>
      </c>
      <c r="C17" s="9">
        <v>7</v>
      </c>
      <c r="N17" s="5"/>
      <c r="O17" s="5"/>
      <c r="P17" s="5"/>
      <c r="Q17" s="5"/>
      <c r="R17" s="5"/>
      <c r="S17" s="5"/>
      <c r="W17" s="5"/>
      <c r="X17" s="5"/>
      <c r="Y17" s="5"/>
      <c r="Z17" s="5"/>
      <c r="AA17" s="5"/>
      <c r="AB17" s="5"/>
      <c r="AE17" s="5"/>
      <c r="AF17" s="5"/>
    </row>
    <row r="18" spans="2:35" ht="15" customHeight="1">
      <c r="B18" s="8" t="s">
        <v>497</v>
      </c>
      <c r="C18" s="9">
        <v>2</v>
      </c>
      <c r="N18" s="5"/>
      <c r="O18" s="143" t="s">
        <v>218</v>
      </c>
      <c r="P18" s="143"/>
      <c r="Q18" s="143"/>
      <c r="R18" s="143"/>
      <c r="S18" s="143"/>
      <c r="T18" s="143"/>
      <c r="U18" s="143"/>
      <c r="V18" s="143"/>
      <c r="W18" s="39"/>
      <c r="X18" s="5"/>
      <c r="Y18" s="143" t="s">
        <v>218</v>
      </c>
      <c r="Z18" s="143"/>
      <c r="AA18" s="143"/>
      <c r="AB18" s="143"/>
      <c r="AC18" s="143"/>
      <c r="AD18" s="143"/>
      <c r="AE18" s="143"/>
      <c r="AF18" s="143"/>
    </row>
    <row r="19" spans="2:35">
      <c r="B19" s="8" t="s">
        <v>151</v>
      </c>
      <c r="C19" s="9">
        <v>9</v>
      </c>
      <c r="N19" s="5"/>
      <c r="O19" s="143"/>
      <c r="P19" s="143"/>
      <c r="Q19" s="143"/>
      <c r="R19" s="143"/>
      <c r="S19" s="143"/>
      <c r="T19" s="143"/>
      <c r="U19" s="143"/>
      <c r="V19" s="143"/>
      <c r="W19" s="39"/>
      <c r="X19" s="5"/>
      <c r="Y19" s="143"/>
      <c r="Z19" s="143"/>
      <c r="AA19" s="143"/>
      <c r="AB19" s="143"/>
      <c r="AC19" s="143"/>
      <c r="AD19" s="143"/>
      <c r="AE19" s="143"/>
      <c r="AF19" s="143"/>
    </row>
    <row r="20" spans="2:35" ht="15" customHeight="1">
      <c r="B20" s="8" t="s">
        <v>377</v>
      </c>
      <c r="C20" s="9">
        <v>1</v>
      </c>
      <c r="N20" s="5"/>
      <c r="O20" s="143" t="s">
        <v>224</v>
      </c>
      <c r="P20" s="143"/>
      <c r="Q20" s="143"/>
      <c r="R20" s="143"/>
      <c r="S20" s="143"/>
      <c r="T20" s="143"/>
      <c r="U20" s="143"/>
      <c r="V20" s="143"/>
      <c r="W20" s="39"/>
      <c r="X20" s="5"/>
      <c r="Y20" s="143" t="s">
        <v>255</v>
      </c>
      <c r="Z20" s="143"/>
      <c r="AA20" s="143"/>
      <c r="AB20" s="143"/>
      <c r="AC20" s="143"/>
      <c r="AD20" s="143"/>
      <c r="AE20" s="143"/>
      <c r="AF20" s="143"/>
    </row>
    <row r="21" spans="2:35">
      <c r="B21" s="8" t="s">
        <v>452</v>
      </c>
      <c r="C21" s="9">
        <v>1</v>
      </c>
      <c r="N21" s="5"/>
      <c r="O21" s="143"/>
      <c r="P21" s="143"/>
      <c r="Q21" s="143"/>
      <c r="R21" s="143"/>
      <c r="S21" s="143"/>
      <c r="T21" s="143"/>
      <c r="U21" s="143"/>
      <c r="V21" s="143"/>
      <c r="W21" s="39"/>
      <c r="X21" s="5"/>
      <c r="Y21" s="143"/>
      <c r="Z21" s="143"/>
      <c r="AA21" s="143"/>
      <c r="AB21" s="143"/>
      <c r="AC21" s="143"/>
      <c r="AD21" s="143"/>
      <c r="AE21" s="143"/>
      <c r="AF21" s="143"/>
    </row>
    <row r="22" spans="2:35">
      <c r="B22" s="8" t="s">
        <v>137</v>
      </c>
      <c r="C22" s="9">
        <v>6</v>
      </c>
      <c r="K22" s="20"/>
      <c r="L22" s="20"/>
      <c r="M22" s="20"/>
      <c r="N22" s="40"/>
      <c r="O22" s="22"/>
      <c r="P22" s="22"/>
      <c r="Q22" s="22"/>
      <c r="R22" s="22"/>
      <c r="S22" s="22"/>
      <c r="T22" s="22"/>
      <c r="U22" s="22"/>
      <c r="V22" s="22"/>
      <c r="W22" s="22"/>
      <c r="X22" s="5"/>
      <c r="Y22" s="5"/>
      <c r="Z22" s="5"/>
      <c r="AA22" s="5"/>
      <c r="AB22" s="5"/>
      <c r="AE22" s="5"/>
      <c r="AF22" s="5"/>
    </row>
    <row r="23" spans="2:35">
      <c r="B23" s="8" t="s">
        <v>145</v>
      </c>
      <c r="C23" s="9">
        <v>15</v>
      </c>
      <c r="N23" s="145" t="s">
        <v>257</v>
      </c>
      <c r="O23" s="145"/>
      <c r="P23" s="5"/>
      <c r="Q23" s="5">
        <f>SUM(Q4:Q9)</f>
        <v>343</v>
      </c>
      <c r="R23" s="5">
        <f>SUM(R4:R9)</f>
        <v>289</v>
      </c>
      <c r="S23" s="5">
        <f>SUM(S4:S9)</f>
        <v>240</v>
      </c>
      <c r="T23" s="5">
        <f>SUM(T4:T9)</f>
        <v>248</v>
      </c>
      <c r="U23" s="5">
        <f>SUM(U4:U9)</f>
        <v>160</v>
      </c>
      <c r="V23" s="15">
        <f>(T23/S23)-1</f>
        <v>3.3333333333333437E-2</v>
      </c>
      <c r="W23" s="15"/>
      <c r="X23" s="142" t="s">
        <v>257</v>
      </c>
      <c r="Y23" s="142"/>
      <c r="Z23" s="12">
        <f>AVERAGE(Z4:Z9)</f>
        <v>14.666666666666666</v>
      </c>
      <c r="AA23" s="12">
        <f>AVERAGE(AA4:AA9)</f>
        <v>4.833333333333333</v>
      </c>
      <c r="AB23" s="12">
        <f>AVERAGE(AB4:AB9)</f>
        <v>4.666666666666667</v>
      </c>
      <c r="AC23" s="12">
        <f>AVERAGE(AC4:AC9)</f>
        <v>7.333333333333333</v>
      </c>
      <c r="AD23" s="12">
        <f>AVERAGE(AD4:AD9)</f>
        <v>6</v>
      </c>
      <c r="AE23" s="32">
        <f t="shared" ref="AE23:AE24" si="3">(AC23/AB23)-1</f>
        <v>0.57142857142857117</v>
      </c>
      <c r="AF23" s="5"/>
    </row>
    <row r="24" spans="2:35" ht="15" customHeight="1">
      <c r="B24" s="8" t="s">
        <v>313</v>
      </c>
      <c r="C24" s="9">
        <v>4</v>
      </c>
      <c r="N24" s="142" t="s">
        <v>258</v>
      </c>
      <c r="O24" s="142"/>
      <c r="P24" s="5"/>
      <c r="Q24" s="5">
        <f>SUM(Q10:Q15)</f>
        <v>427</v>
      </c>
      <c r="R24" s="5">
        <f>SUM(R10:R15)</f>
        <v>357</v>
      </c>
      <c r="S24" s="5">
        <f>SUM(S10:S15)</f>
        <v>198</v>
      </c>
      <c r="T24" s="5">
        <f>SUM(T10:T15)</f>
        <v>185</v>
      </c>
      <c r="U24" s="5">
        <f>SUM(U10:U15)</f>
        <v>190</v>
      </c>
      <c r="V24" s="15">
        <f>(T24/S24)-1</f>
        <v>-6.5656565656565635E-2</v>
      </c>
      <c r="W24" s="15"/>
      <c r="X24" s="142" t="s">
        <v>258</v>
      </c>
      <c r="Y24" s="142"/>
      <c r="Z24" s="5">
        <f>AVERAGE(Z10:Z15)</f>
        <v>10</v>
      </c>
      <c r="AA24" s="12">
        <f>AVERAGE(AA10:AA15)</f>
        <v>4.666666666666667</v>
      </c>
      <c r="AB24" s="12">
        <f>AVERAGE(AB10:AB15)</f>
        <v>4.166666666666667</v>
      </c>
      <c r="AC24" s="12">
        <f>AVERAGE(AC10:AC15)</f>
        <v>6.333333333333333</v>
      </c>
      <c r="AD24" s="12">
        <f>AVERAGE(AD10:AD15)</f>
        <v>5</v>
      </c>
      <c r="AE24" s="32">
        <f t="shared" si="3"/>
        <v>0.5199999999999998</v>
      </c>
      <c r="AF24" s="5"/>
    </row>
    <row r="25" spans="2:35">
      <c r="B25" s="8" t="s">
        <v>158</v>
      </c>
      <c r="C25" s="9">
        <v>3</v>
      </c>
      <c r="S25" s="5"/>
      <c r="V25" s="15"/>
      <c r="Y25" s="12"/>
      <c r="Z25" s="12"/>
      <c r="AA25" s="32"/>
    </row>
    <row r="26" spans="2:35">
      <c r="B26" s="8" t="s">
        <v>162</v>
      </c>
      <c r="C26" s="9">
        <v>6</v>
      </c>
    </row>
    <row r="27" spans="2:35">
      <c r="B27" s="8" t="s">
        <v>469</v>
      </c>
      <c r="C27" s="9">
        <v>1</v>
      </c>
      <c r="P27" s="145"/>
      <c r="Q27" s="145"/>
      <c r="S27" s="5"/>
      <c r="W27" s="5"/>
      <c r="X27" s="5"/>
      <c r="Y27" s="5"/>
      <c r="Z27" s="5"/>
      <c r="AA27" s="5"/>
      <c r="AB27" s="5"/>
      <c r="AE27" s="5"/>
      <c r="AF27" s="5"/>
      <c r="AG27" s="5"/>
      <c r="AH27" s="5"/>
      <c r="AI27" s="5"/>
    </row>
    <row r="28" spans="2:35">
      <c r="B28" s="8" t="s">
        <v>192</v>
      </c>
      <c r="C28" s="9">
        <v>222</v>
      </c>
      <c r="O28" s="5"/>
      <c r="P28" s="14"/>
      <c r="Q28" s="14"/>
      <c r="R28" s="17"/>
      <c r="S28" s="146"/>
      <c r="T28" s="146"/>
      <c r="U28" s="146"/>
      <c r="V28" s="146"/>
      <c r="W28" s="146"/>
      <c r="X28" s="146"/>
      <c r="Y28" s="146"/>
      <c r="Z28" s="21"/>
      <c r="AA28" s="146"/>
      <c r="AB28" s="146"/>
      <c r="AC28" s="46"/>
      <c r="AD28" s="75"/>
      <c r="AE28" s="146"/>
      <c r="AF28" s="146"/>
      <c r="AG28" s="146"/>
      <c r="AH28" s="146"/>
      <c r="AI28" s="146"/>
    </row>
    <row r="29" spans="2:35">
      <c r="B29" s="8" t="s">
        <v>167</v>
      </c>
      <c r="C29" s="9">
        <v>7</v>
      </c>
      <c r="O29" s="5"/>
      <c r="P29" s="5"/>
      <c r="Q29" s="5"/>
      <c r="R29" s="5"/>
      <c r="S29" s="145"/>
      <c r="T29" s="145"/>
      <c r="U29" s="145"/>
      <c r="V29" s="145"/>
      <c r="W29" s="145"/>
      <c r="X29" s="145"/>
      <c r="Y29" s="145"/>
      <c r="Z29" s="18"/>
      <c r="AA29" s="145"/>
      <c r="AB29" s="145"/>
      <c r="AC29" s="45"/>
      <c r="AD29" s="74"/>
      <c r="AE29" s="145"/>
      <c r="AF29" s="145"/>
      <c r="AG29" s="5"/>
      <c r="AH29" s="144"/>
      <c r="AI29" s="144"/>
    </row>
    <row r="30" spans="2:35">
      <c r="B30" s="8" t="s">
        <v>215</v>
      </c>
      <c r="C30" s="9">
        <v>351</v>
      </c>
      <c r="O30" s="5"/>
      <c r="P30" s="5"/>
      <c r="Q30" s="5"/>
      <c r="R30" s="5"/>
      <c r="S30" s="145"/>
      <c r="T30" s="145"/>
      <c r="U30" s="145"/>
      <c r="V30" s="145"/>
      <c r="W30" s="145"/>
      <c r="X30" s="5"/>
      <c r="Y30" s="5"/>
      <c r="Z30" s="18"/>
      <c r="AA30" s="5"/>
      <c r="AB30" s="5"/>
      <c r="AE30" s="5"/>
      <c r="AF30" s="5"/>
      <c r="AG30" s="5"/>
      <c r="AH30" s="144"/>
      <c r="AI30" s="144"/>
    </row>
    <row r="31" spans="2:35">
      <c r="O31" s="5"/>
      <c r="P31" s="5"/>
      <c r="Q31" s="5"/>
      <c r="R31" s="5"/>
      <c r="S31" s="145"/>
      <c r="T31" s="145"/>
      <c r="U31" s="145"/>
      <c r="V31" s="145"/>
      <c r="W31" s="145"/>
      <c r="X31" s="5"/>
      <c r="Y31" s="5"/>
      <c r="Z31" s="18"/>
      <c r="AA31" s="5"/>
      <c r="AB31" s="5"/>
      <c r="AE31" s="5"/>
      <c r="AF31" s="5"/>
      <c r="AG31" s="5"/>
      <c r="AH31" s="144"/>
      <c r="AI31" s="144"/>
    </row>
    <row r="32" spans="2:35">
      <c r="O32" s="5"/>
      <c r="P32" s="5"/>
      <c r="Q32" s="5"/>
      <c r="R32" s="5"/>
      <c r="S32" s="145"/>
      <c r="T32" s="145"/>
      <c r="U32" s="145"/>
      <c r="V32" s="145"/>
      <c r="W32" s="145"/>
      <c r="X32" s="5"/>
      <c r="Y32" s="5"/>
      <c r="Z32" s="18"/>
      <c r="AA32" s="5"/>
      <c r="AB32" s="5"/>
      <c r="AE32" s="5"/>
      <c r="AF32" s="5"/>
      <c r="AG32" s="5"/>
      <c r="AH32" s="144"/>
      <c r="AI32" s="144"/>
    </row>
    <row r="33" spans="11:35">
      <c r="O33" s="5"/>
      <c r="P33" s="5"/>
      <c r="Q33" s="5"/>
      <c r="R33" s="5"/>
      <c r="S33" s="145"/>
      <c r="T33" s="145"/>
      <c r="U33" s="145"/>
      <c r="V33" s="145"/>
      <c r="W33" s="145"/>
      <c r="X33" s="5"/>
      <c r="Y33" s="5"/>
      <c r="Z33" s="18"/>
      <c r="AA33" s="5"/>
      <c r="AB33" s="5"/>
      <c r="AE33" s="5"/>
      <c r="AF33" s="5"/>
      <c r="AG33" s="5"/>
      <c r="AH33" s="144"/>
      <c r="AI33" s="144"/>
    </row>
    <row r="34" spans="11:35">
      <c r="O34" s="5"/>
      <c r="P34" s="5"/>
      <c r="Q34" s="5"/>
      <c r="R34" s="5"/>
      <c r="S34" s="145"/>
      <c r="T34" s="145"/>
      <c r="U34" s="145"/>
      <c r="V34" s="145"/>
      <c r="W34" s="145"/>
      <c r="X34" s="5"/>
      <c r="Y34" s="5"/>
      <c r="Z34" s="18"/>
      <c r="AA34" s="5"/>
      <c r="AB34" s="5"/>
      <c r="AE34" s="5"/>
      <c r="AF34" s="5"/>
      <c r="AG34" s="5"/>
      <c r="AH34" s="144"/>
      <c r="AI34" s="144"/>
    </row>
    <row r="35" spans="11:35">
      <c r="O35" s="5"/>
      <c r="P35" s="5"/>
      <c r="Q35" s="5"/>
      <c r="R35" s="5"/>
      <c r="S35" s="145"/>
      <c r="T35" s="145"/>
      <c r="U35" s="145"/>
      <c r="V35" s="145"/>
      <c r="W35" s="145"/>
      <c r="X35" s="5"/>
      <c r="Y35" s="5"/>
      <c r="Z35" s="18"/>
      <c r="AA35" s="5"/>
      <c r="AB35" s="5"/>
      <c r="AE35" s="5"/>
      <c r="AF35" s="5"/>
      <c r="AG35" s="5"/>
      <c r="AH35" s="144"/>
      <c r="AI35" s="144"/>
    </row>
    <row r="36" spans="11:35">
      <c r="O36" s="5"/>
      <c r="P36" s="5"/>
      <c r="Q36" s="5"/>
      <c r="R36" s="5"/>
      <c r="S36" s="145"/>
      <c r="T36" s="145"/>
      <c r="U36" s="145"/>
      <c r="V36" s="145"/>
      <c r="W36" s="145"/>
      <c r="X36" s="5"/>
      <c r="Y36" s="5"/>
      <c r="Z36" s="18"/>
      <c r="AA36" s="5"/>
      <c r="AB36" s="5"/>
      <c r="AE36" s="5"/>
      <c r="AF36" s="5"/>
      <c r="AG36" s="5"/>
      <c r="AH36" s="144"/>
      <c r="AI36" s="144"/>
    </row>
    <row r="37" spans="11:35">
      <c r="O37" s="5"/>
      <c r="P37" s="5"/>
      <c r="Q37" s="5"/>
      <c r="R37" s="5"/>
      <c r="S37" s="145"/>
      <c r="T37" s="145"/>
      <c r="U37" s="145"/>
      <c r="V37" s="145"/>
      <c r="W37" s="145"/>
      <c r="X37" s="5"/>
      <c r="Y37" s="5"/>
      <c r="Z37" s="18"/>
      <c r="AA37" s="5"/>
      <c r="AB37" s="5"/>
      <c r="AE37" s="5"/>
      <c r="AF37" s="5"/>
      <c r="AG37" s="5"/>
      <c r="AH37" s="144"/>
      <c r="AI37" s="144"/>
    </row>
    <row r="38" spans="11:35">
      <c r="O38" s="5"/>
      <c r="P38" s="5"/>
      <c r="Q38" s="5"/>
      <c r="R38" s="5"/>
      <c r="S38" s="145"/>
      <c r="T38" s="145"/>
      <c r="U38" s="145"/>
      <c r="V38" s="145"/>
      <c r="W38" s="145"/>
      <c r="X38" s="5"/>
      <c r="Y38" s="5"/>
      <c r="Z38" s="18"/>
      <c r="AA38" s="5"/>
      <c r="AB38" s="5"/>
      <c r="AE38" s="5"/>
      <c r="AF38" s="5"/>
      <c r="AG38" s="5"/>
      <c r="AH38" s="144"/>
      <c r="AI38" s="144"/>
    </row>
    <row r="39" spans="11:35">
      <c r="O39" s="5"/>
      <c r="P39" s="5"/>
      <c r="Q39" s="5"/>
      <c r="R39" s="5"/>
      <c r="S39" s="145"/>
      <c r="T39" s="145"/>
      <c r="U39" s="145"/>
      <c r="V39" s="145"/>
      <c r="W39" s="145"/>
      <c r="X39" s="5"/>
      <c r="Y39" s="5"/>
      <c r="Z39" s="18"/>
      <c r="AA39" s="5"/>
      <c r="AB39" s="5"/>
      <c r="AE39" s="5"/>
      <c r="AF39" s="5"/>
      <c r="AG39" s="5"/>
      <c r="AH39" s="144"/>
      <c r="AI39" s="144"/>
    </row>
    <row r="40" spans="11:35">
      <c r="O40" s="5"/>
      <c r="P40" s="5"/>
      <c r="Q40" s="5"/>
      <c r="R40" s="5"/>
      <c r="S40" s="145"/>
      <c r="T40" s="145"/>
      <c r="U40" s="145"/>
      <c r="V40" s="145"/>
      <c r="W40" s="145"/>
      <c r="X40" s="5"/>
      <c r="Y40" s="5"/>
      <c r="Z40" s="18"/>
      <c r="AA40" s="5"/>
      <c r="AB40" s="5"/>
      <c r="AE40" s="5"/>
      <c r="AF40" s="5"/>
      <c r="AG40" s="5"/>
      <c r="AH40" s="144"/>
      <c r="AI40" s="144"/>
    </row>
    <row r="41" spans="11:35">
      <c r="O41" s="5"/>
      <c r="P41" s="5"/>
      <c r="Q41" s="5"/>
      <c r="S41" s="5"/>
      <c r="W41" s="5"/>
      <c r="X41" s="5"/>
      <c r="Y41" s="5"/>
      <c r="Z41" s="5"/>
      <c r="AA41" s="5"/>
      <c r="AB41" s="5"/>
      <c r="AE41" s="5"/>
      <c r="AF41" s="5"/>
      <c r="AG41" s="5"/>
      <c r="AH41" s="5"/>
      <c r="AI41" s="12"/>
    </row>
    <row r="42" spans="11:35">
      <c r="O42" s="5"/>
      <c r="P42" s="5"/>
      <c r="S42" s="5"/>
      <c r="W42" s="5"/>
      <c r="X42" s="5"/>
      <c r="Y42" s="5"/>
      <c r="Z42" s="5"/>
      <c r="AA42" s="5"/>
      <c r="AB42" s="5"/>
      <c r="AE42" s="5"/>
      <c r="AF42" s="5"/>
      <c r="AG42" s="5"/>
      <c r="AH42" s="5"/>
      <c r="AI42" s="5"/>
    </row>
    <row r="43" spans="11:35">
      <c r="O43" s="25"/>
      <c r="P43" s="14"/>
      <c r="Q43" s="14"/>
      <c r="R43" s="14"/>
      <c r="S43" s="21"/>
      <c r="T43" s="44"/>
      <c r="U43" s="75"/>
      <c r="V43" s="37"/>
      <c r="W43" s="5"/>
      <c r="X43" s="5"/>
      <c r="Y43" s="5"/>
      <c r="Z43" s="5"/>
      <c r="AA43" s="5"/>
      <c r="AB43" s="5"/>
      <c r="AE43" s="5"/>
      <c r="AF43" s="5"/>
      <c r="AG43" s="5"/>
      <c r="AH43" s="5"/>
      <c r="AI43" s="5"/>
    </row>
    <row r="44" spans="11:35">
      <c r="S44" s="5"/>
      <c r="W44" s="5"/>
      <c r="X44" s="5"/>
      <c r="Y44" s="5"/>
      <c r="Z44" s="5"/>
      <c r="AA44" s="5"/>
      <c r="AB44" s="5"/>
      <c r="AE44" s="5"/>
      <c r="AF44" s="5"/>
      <c r="AG44" s="5"/>
      <c r="AH44" s="5"/>
      <c r="AI44" s="5"/>
    </row>
    <row r="45" spans="11:35">
      <c r="P45" s="5"/>
      <c r="R45" s="5"/>
      <c r="S45" s="5"/>
      <c r="W45" s="5"/>
      <c r="X45" s="5"/>
      <c r="Y45" s="5"/>
      <c r="Z45" s="5"/>
      <c r="AA45" s="5"/>
      <c r="AB45" s="5"/>
      <c r="AE45" s="5"/>
      <c r="AF45" s="5"/>
      <c r="AG45" s="5"/>
      <c r="AH45" s="5"/>
      <c r="AI45" s="5"/>
    </row>
    <row r="46" spans="11:35">
      <c r="O46" s="5"/>
      <c r="Q46" s="5"/>
      <c r="R46" s="5"/>
      <c r="S46" s="5"/>
      <c r="W46" s="5"/>
      <c r="X46" s="5"/>
      <c r="Y46" s="5"/>
      <c r="Z46" s="5"/>
      <c r="AA46" s="5"/>
      <c r="AB46" s="5"/>
      <c r="AE46" s="5"/>
      <c r="AF46" s="5"/>
      <c r="AG46" s="5"/>
      <c r="AH46" s="5"/>
      <c r="AI46" s="5"/>
    </row>
    <row r="47" spans="11:35">
      <c r="K47" s="5"/>
    </row>
  </sheetData>
  <mergeCells count="44">
    <mergeCell ref="P27:Q27"/>
    <mergeCell ref="S28:W28"/>
    <mergeCell ref="X28:Y28"/>
    <mergeCell ref="N23:O23"/>
    <mergeCell ref="N24:O24"/>
    <mergeCell ref="X23:Y23"/>
    <mergeCell ref="X24:Y24"/>
    <mergeCell ref="S40:W40"/>
    <mergeCell ref="X29:Y29"/>
    <mergeCell ref="S32:W32"/>
    <mergeCell ref="S33:W33"/>
    <mergeCell ref="S34:W34"/>
    <mergeCell ref="S35:W35"/>
    <mergeCell ref="S36:W36"/>
    <mergeCell ref="S29:W29"/>
    <mergeCell ref="S30:W30"/>
    <mergeCell ref="S31:W31"/>
    <mergeCell ref="AH40:AI40"/>
    <mergeCell ref="AH32:AI32"/>
    <mergeCell ref="AH33:AI33"/>
    <mergeCell ref="AH34:AI34"/>
    <mergeCell ref="AH35:AI35"/>
    <mergeCell ref="AH36:AI36"/>
    <mergeCell ref="O20:V21"/>
    <mergeCell ref="Y20:AF21"/>
    <mergeCell ref="AH37:AI37"/>
    <mergeCell ref="AH38:AI38"/>
    <mergeCell ref="AH39:AI39"/>
    <mergeCell ref="S37:W37"/>
    <mergeCell ref="S38:W38"/>
    <mergeCell ref="S39:W39"/>
    <mergeCell ref="AH29:AI29"/>
    <mergeCell ref="AH30:AI30"/>
    <mergeCell ref="AH31:AI31"/>
    <mergeCell ref="AA28:AB28"/>
    <mergeCell ref="AE28:AF28"/>
    <mergeCell ref="AA29:AB29"/>
    <mergeCell ref="AE29:AF29"/>
    <mergeCell ref="AG28:AI28"/>
    <mergeCell ref="Y1:AE2"/>
    <mergeCell ref="O2:V2"/>
    <mergeCell ref="X16:Y16"/>
    <mergeCell ref="O18:V19"/>
    <mergeCell ref="Y18:AF19"/>
  </mergeCells>
  <pageMargins left="0.7" right="0.7" top="0.75" bottom="0.75" header="0.3" footer="0.3"/>
  <pageSetup orientation="portrait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5">
    <tabColor theme="1" tint="4.9989318521683403E-2"/>
  </sheetPr>
  <dimension ref="A1:AF153"/>
  <sheetViews>
    <sheetView zoomScale="85" zoomScaleNormal="85" workbookViewId="0">
      <selection activeCell="A7" sqref="A7"/>
    </sheetView>
  </sheetViews>
  <sheetFormatPr baseColWidth="10" defaultRowHeight="15"/>
  <cols>
    <col min="1" max="1" width="38.28515625" customWidth="1"/>
    <col min="2" max="2" width="10.7109375" style="5" customWidth="1"/>
    <col min="4" max="4" width="29.85546875" customWidth="1"/>
    <col min="5" max="5" width="23.140625" customWidth="1"/>
    <col min="7" max="7" width="50.7109375" customWidth="1"/>
    <col min="8" max="8" width="20.7109375" customWidth="1"/>
    <col min="10" max="10" width="19.140625" customWidth="1"/>
    <col min="11" max="11" width="20.7109375" customWidth="1"/>
    <col min="13" max="13" width="17.28515625" customWidth="1"/>
    <col min="14" max="14" width="20.7109375" customWidth="1"/>
    <col min="16" max="16" width="54.5703125" customWidth="1"/>
    <col min="17" max="17" width="20.7109375" customWidth="1"/>
  </cols>
  <sheetData>
    <row r="1" spans="1:6">
      <c r="D1" s="145"/>
      <c r="E1" s="145"/>
    </row>
    <row r="2" spans="1:6">
      <c r="D2" s="145"/>
      <c r="E2" s="145"/>
    </row>
    <row r="3" spans="1:6">
      <c r="D3" s="145"/>
      <c r="E3" s="145"/>
    </row>
    <row r="4" spans="1:6">
      <c r="A4" s="19" t="s">
        <v>2</v>
      </c>
      <c r="B4" s="5" t="s">
        <v>382</v>
      </c>
      <c r="D4" s="19" t="s">
        <v>2</v>
      </c>
      <c r="E4" s="5" t="s">
        <v>382</v>
      </c>
    </row>
    <row r="6" spans="1:6" ht="37.5">
      <c r="A6" s="24" t="s">
        <v>225</v>
      </c>
      <c r="B6"/>
      <c r="D6" s="19" t="s">
        <v>213</v>
      </c>
      <c r="E6" s="24" t="s">
        <v>238</v>
      </c>
    </row>
    <row r="7" spans="1:6">
      <c r="A7" s="122">
        <v>5.4444444444444446</v>
      </c>
      <c r="B7"/>
      <c r="C7">
        <v>1</v>
      </c>
      <c r="D7" s="8" t="s">
        <v>452</v>
      </c>
      <c r="E7" s="9">
        <v>1</v>
      </c>
      <c r="F7" s="15"/>
    </row>
    <row r="8" spans="1:6">
      <c r="B8"/>
      <c r="C8">
        <v>1</v>
      </c>
      <c r="D8" s="8" t="s">
        <v>502</v>
      </c>
      <c r="E8" s="9">
        <v>1</v>
      </c>
      <c r="F8" s="15"/>
    </row>
    <row r="9" spans="1:6">
      <c r="B9"/>
      <c r="C9">
        <v>1</v>
      </c>
      <c r="D9" s="8" t="s">
        <v>439</v>
      </c>
      <c r="E9" s="9">
        <v>1</v>
      </c>
      <c r="F9" s="15"/>
    </row>
    <row r="10" spans="1:6">
      <c r="B10"/>
      <c r="C10">
        <v>1</v>
      </c>
      <c r="D10" s="8" t="s">
        <v>469</v>
      </c>
      <c r="E10" s="9">
        <v>1</v>
      </c>
      <c r="F10" s="15"/>
    </row>
    <row r="11" spans="1:6">
      <c r="B11"/>
      <c r="C11">
        <v>1</v>
      </c>
      <c r="D11" s="8" t="s">
        <v>377</v>
      </c>
      <c r="E11" s="9">
        <v>1</v>
      </c>
      <c r="F11" s="15"/>
    </row>
    <row r="12" spans="1:6">
      <c r="B12"/>
      <c r="C12">
        <v>1</v>
      </c>
      <c r="D12" s="8" t="s">
        <v>507</v>
      </c>
      <c r="E12" s="9">
        <v>1</v>
      </c>
      <c r="F12" s="15"/>
    </row>
    <row r="13" spans="1:6">
      <c r="B13"/>
      <c r="C13">
        <v>1</v>
      </c>
      <c r="D13" s="8" t="s">
        <v>513</v>
      </c>
      <c r="E13" s="9">
        <v>1</v>
      </c>
      <c r="F13" s="15"/>
    </row>
    <row r="14" spans="1:6">
      <c r="B14"/>
      <c r="C14">
        <v>1</v>
      </c>
      <c r="D14" s="8" t="s">
        <v>497</v>
      </c>
      <c r="E14" s="9">
        <v>2</v>
      </c>
      <c r="F14" s="15"/>
    </row>
    <row r="15" spans="1:6">
      <c r="B15"/>
      <c r="C15">
        <v>1</v>
      </c>
      <c r="D15" s="8" t="s">
        <v>138</v>
      </c>
      <c r="E15" s="9">
        <v>2</v>
      </c>
      <c r="F15" s="15"/>
    </row>
    <row r="16" spans="1:6">
      <c r="B16"/>
      <c r="C16">
        <v>1</v>
      </c>
      <c r="D16" s="8" t="s">
        <v>530</v>
      </c>
      <c r="E16" s="9">
        <v>2</v>
      </c>
      <c r="F16" s="15"/>
    </row>
    <row r="17" spans="2:32">
      <c r="B17"/>
      <c r="C17">
        <v>1</v>
      </c>
      <c r="D17" s="8" t="s">
        <v>424</v>
      </c>
      <c r="E17" s="9">
        <v>3</v>
      </c>
      <c r="F17" s="15"/>
    </row>
    <row r="18" spans="2:32">
      <c r="B18"/>
      <c r="C18">
        <v>1</v>
      </c>
      <c r="D18" s="8" t="s">
        <v>158</v>
      </c>
      <c r="E18" s="9">
        <v>3</v>
      </c>
      <c r="F18" s="15"/>
    </row>
    <row r="19" spans="2:32">
      <c r="B19"/>
      <c r="C19">
        <v>1</v>
      </c>
      <c r="D19" s="8" t="s">
        <v>148</v>
      </c>
      <c r="E19" s="9">
        <v>3</v>
      </c>
      <c r="F19" s="15"/>
    </row>
    <row r="20" spans="2:32">
      <c r="B20"/>
      <c r="C20">
        <v>1</v>
      </c>
      <c r="D20" s="8" t="s">
        <v>313</v>
      </c>
      <c r="E20" s="9">
        <v>4</v>
      </c>
      <c r="F20" s="15"/>
    </row>
    <row r="21" spans="2:32">
      <c r="B21"/>
      <c r="C21">
        <v>1</v>
      </c>
      <c r="D21" s="8" t="s">
        <v>161</v>
      </c>
      <c r="E21" s="9">
        <v>4</v>
      </c>
      <c r="F21" s="15"/>
    </row>
    <row r="22" spans="2:32">
      <c r="B22"/>
      <c r="C22">
        <v>1</v>
      </c>
      <c r="D22" s="8" t="s">
        <v>137</v>
      </c>
      <c r="E22" s="9">
        <v>6</v>
      </c>
      <c r="F22" s="15"/>
      <c r="AE22" s="5"/>
      <c r="AF22" s="5"/>
    </row>
    <row r="23" spans="2:32">
      <c r="B23"/>
      <c r="C23">
        <v>1</v>
      </c>
      <c r="D23" s="8" t="s">
        <v>162</v>
      </c>
      <c r="E23" s="9">
        <v>6</v>
      </c>
      <c r="F23" s="15"/>
      <c r="AE23" s="5"/>
      <c r="AF23" s="5"/>
    </row>
    <row r="24" spans="2:32">
      <c r="C24">
        <v>1</v>
      </c>
      <c r="D24" s="8" t="s">
        <v>156</v>
      </c>
      <c r="E24" s="9">
        <v>7</v>
      </c>
      <c r="F24" s="15"/>
      <c r="AE24" s="5"/>
      <c r="AF24" s="5"/>
    </row>
    <row r="25" spans="2:32">
      <c r="C25">
        <v>1</v>
      </c>
      <c r="D25" s="8" t="s">
        <v>167</v>
      </c>
      <c r="E25" s="9">
        <v>7</v>
      </c>
      <c r="F25" s="15"/>
      <c r="AE25" s="5"/>
      <c r="AF25" s="5"/>
    </row>
    <row r="26" spans="2:32">
      <c r="C26">
        <v>1</v>
      </c>
      <c r="D26" s="8" t="s">
        <v>155</v>
      </c>
      <c r="E26" s="9">
        <v>8</v>
      </c>
      <c r="F26" s="15"/>
      <c r="AE26" s="5"/>
      <c r="AF26" s="5"/>
    </row>
    <row r="27" spans="2:32">
      <c r="C27">
        <v>1</v>
      </c>
      <c r="D27" s="8" t="s">
        <v>151</v>
      </c>
      <c r="E27" s="9">
        <v>9</v>
      </c>
      <c r="F27" s="15"/>
      <c r="AE27" s="5"/>
      <c r="AF27" s="5"/>
    </row>
    <row r="28" spans="2:32">
      <c r="C28">
        <v>1</v>
      </c>
      <c r="D28" s="8" t="s">
        <v>140</v>
      </c>
      <c r="E28" s="9">
        <v>9</v>
      </c>
      <c r="F28" s="15"/>
      <c r="AE28" s="5"/>
      <c r="AF28" s="5"/>
    </row>
    <row r="29" spans="2:32">
      <c r="C29">
        <v>1</v>
      </c>
      <c r="D29" s="8" t="s">
        <v>145</v>
      </c>
      <c r="E29" s="9">
        <v>15</v>
      </c>
      <c r="F29" s="15"/>
      <c r="AE29" s="5"/>
      <c r="AF29" s="5"/>
    </row>
    <row r="30" spans="2:32">
      <c r="C30" s="5">
        <v>1</v>
      </c>
      <c r="D30" s="8" t="s">
        <v>142</v>
      </c>
      <c r="E30" s="9">
        <v>16</v>
      </c>
      <c r="F30" s="15"/>
    </row>
    <row r="31" spans="2:32">
      <c r="C31" s="5">
        <v>1</v>
      </c>
      <c r="D31" s="8" t="s">
        <v>144</v>
      </c>
      <c r="E31" s="9">
        <v>16</v>
      </c>
    </row>
    <row r="32" spans="2:32">
      <c r="C32">
        <v>1</v>
      </c>
      <c r="D32" s="8" t="s">
        <v>192</v>
      </c>
      <c r="E32" s="9">
        <v>222</v>
      </c>
      <c r="F32" s="15"/>
    </row>
    <row r="33" spans="3:17">
      <c r="C33">
        <f>SUM(C7:C32)</f>
        <v>26</v>
      </c>
      <c r="D33" s="8" t="s">
        <v>193</v>
      </c>
      <c r="E33" s="9">
        <v>351</v>
      </c>
    </row>
    <row r="36" spans="3:17" s="5" customFormat="1">
      <c r="D36" s="8"/>
      <c r="E36" s="9"/>
    </row>
    <row r="37" spans="3:17">
      <c r="D37" s="19" t="s">
        <v>2</v>
      </c>
      <c r="E37" s="5" t="s">
        <v>382</v>
      </c>
      <c r="G37" s="19" t="s">
        <v>2</v>
      </c>
      <c r="H37" s="5" t="s">
        <v>382</v>
      </c>
      <c r="J37" s="19" t="s">
        <v>2</v>
      </c>
      <c r="K37" s="5" t="s">
        <v>382</v>
      </c>
      <c r="M37" s="19" t="s">
        <v>2</v>
      </c>
      <c r="N37" s="5" t="s">
        <v>382</v>
      </c>
      <c r="P37" s="19" t="s">
        <v>2</v>
      </c>
      <c r="Q37" s="5" t="s">
        <v>382</v>
      </c>
    </row>
    <row r="39" spans="3:17" ht="37.5">
      <c r="D39" s="23" t="s">
        <v>220</v>
      </c>
      <c r="E39" s="24" t="s">
        <v>216</v>
      </c>
      <c r="G39" s="23" t="s">
        <v>221</v>
      </c>
      <c r="H39" s="24" t="s">
        <v>216</v>
      </c>
      <c r="J39" s="23" t="s">
        <v>219</v>
      </c>
      <c r="K39" s="24" t="s">
        <v>216</v>
      </c>
      <c r="M39" s="23" t="s">
        <v>233</v>
      </c>
      <c r="N39" s="24" t="s">
        <v>216</v>
      </c>
      <c r="P39" s="23" t="s">
        <v>223</v>
      </c>
      <c r="Q39" s="24" t="s">
        <v>216</v>
      </c>
    </row>
    <row r="40" spans="3:17">
      <c r="C40" s="5">
        <v>1</v>
      </c>
      <c r="D40" s="8" t="s">
        <v>180</v>
      </c>
      <c r="E40" s="9">
        <v>1</v>
      </c>
      <c r="F40">
        <v>1</v>
      </c>
      <c r="G40" s="8" t="s">
        <v>71</v>
      </c>
      <c r="H40" s="9">
        <v>82</v>
      </c>
      <c r="J40" s="8" t="s">
        <v>56</v>
      </c>
      <c r="K40" s="9">
        <v>15</v>
      </c>
      <c r="M40" s="8" t="s">
        <v>453</v>
      </c>
      <c r="N40" s="9">
        <v>343</v>
      </c>
      <c r="P40" s="8" t="s">
        <v>142</v>
      </c>
      <c r="Q40" s="9">
        <v>16</v>
      </c>
    </row>
    <row r="41" spans="3:17">
      <c r="C41" s="5">
        <v>1</v>
      </c>
      <c r="D41" s="8" t="s">
        <v>944</v>
      </c>
      <c r="E41" s="9">
        <v>1</v>
      </c>
      <c r="F41">
        <v>1</v>
      </c>
      <c r="G41" s="8" t="s">
        <v>94</v>
      </c>
      <c r="H41" s="9">
        <v>36</v>
      </c>
      <c r="J41" s="8" t="s">
        <v>10</v>
      </c>
      <c r="K41" s="9">
        <v>4</v>
      </c>
      <c r="M41" s="8" t="s">
        <v>339</v>
      </c>
      <c r="N41" s="9">
        <v>8</v>
      </c>
      <c r="P41" s="16" t="s">
        <v>121</v>
      </c>
      <c r="Q41" s="9">
        <v>2</v>
      </c>
    </row>
    <row r="42" spans="3:17">
      <c r="C42" s="5">
        <v>1</v>
      </c>
      <c r="D42" s="8" t="s">
        <v>63</v>
      </c>
      <c r="E42" s="9">
        <v>1</v>
      </c>
      <c r="F42">
        <v>1</v>
      </c>
      <c r="G42" s="8" t="s">
        <v>89</v>
      </c>
      <c r="H42" s="9">
        <v>27</v>
      </c>
      <c r="J42" s="8" t="s">
        <v>243</v>
      </c>
      <c r="K42" s="9">
        <v>331</v>
      </c>
      <c r="M42" s="8" t="s">
        <v>193</v>
      </c>
      <c r="N42" s="9">
        <v>351</v>
      </c>
      <c r="P42" s="16" t="s">
        <v>283</v>
      </c>
      <c r="Q42" s="9">
        <v>1</v>
      </c>
    </row>
    <row r="43" spans="3:17">
      <c r="C43" s="5">
        <v>1</v>
      </c>
      <c r="D43" s="8" t="s">
        <v>181</v>
      </c>
      <c r="E43" s="9">
        <v>1</v>
      </c>
      <c r="F43">
        <v>1</v>
      </c>
      <c r="G43" s="8" t="s">
        <v>73</v>
      </c>
      <c r="H43" s="9">
        <v>15</v>
      </c>
      <c r="J43" s="8" t="s">
        <v>621</v>
      </c>
      <c r="K43" s="9">
        <v>1</v>
      </c>
      <c r="P43" s="16" t="s">
        <v>89</v>
      </c>
      <c r="Q43" s="9">
        <v>11</v>
      </c>
    </row>
    <row r="44" spans="3:17">
      <c r="C44" s="5">
        <v>1</v>
      </c>
      <c r="D44" s="8" t="s">
        <v>45</v>
      </c>
      <c r="E44" s="9">
        <v>1</v>
      </c>
      <c r="F44" s="5">
        <v>1</v>
      </c>
      <c r="G44" s="8" t="s">
        <v>83</v>
      </c>
      <c r="H44" s="9">
        <v>14</v>
      </c>
      <c r="J44" s="8" t="s">
        <v>193</v>
      </c>
      <c r="K44" s="9">
        <v>351</v>
      </c>
      <c r="P44" s="16" t="s">
        <v>81</v>
      </c>
      <c r="Q44" s="9">
        <v>2</v>
      </c>
    </row>
    <row r="45" spans="3:17">
      <c r="C45" s="5">
        <v>1</v>
      </c>
      <c r="D45" s="8" t="s">
        <v>35</v>
      </c>
      <c r="E45" s="9">
        <v>1</v>
      </c>
      <c r="F45" s="5">
        <v>1</v>
      </c>
      <c r="G45" s="8" t="s">
        <v>129</v>
      </c>
      <c r="H45" s="9">
        <v>13</v>
      </c>
      <c r="P45" s="8" t="s">
        <v>140</v>
      </c>
      <c r="Q45" s="9">
        <v>9</v>
      </c>
    </row>
    <row r="46" spans="3:17">
      <c r="C46" s="5">
        <v>1</v>
      </c>
      <c r="D46" s="8" t="s">
        <v>37</v>
      </c>
      <c r="E46" s="9">
        <v>1</v>
      </c>
      <c r="F46" s="5">
        <v>1</v>
      </c>
      <c r="G46" s="8" t="s">
        <v>302</v>
      </c>
      <c r="H46" s="9">
        <v>11</v>
      </c>
      <c r="J46" s="19" t="s">
        <v>2</v>
      </c>
      <c r="K46" s="5" t="s">
        <v>382</v>
      </c>
      <c r="P46" s="16" t="s">
        <v>283</v>
      </c>
      <c r="Q46" s="9">
        <v>2</v>
      </c>
    </row>
    <row r="47" spans="3:17">
      <c r="C47" s="5">
        <v>1</v>
      </c>
      <c r="D47" s="8" t="s">
        <v>166</v>
      </c>
      <c r="E47" s="9">
        <v>1</v>
      </c>
      <c r="F47" s="5">
        <v>1</v>
      </c>
      <c r="G47" s="8" t="s">
        <v>76</v>
      </c>
      <c r="H47" s="9">
        <v>11</v>
      </c>
      <c r="P47" s="16" t="s">
        <v>95</v>
      </c>
      <c r="Q47" s="9">
        <v>5</v>
      </c>
    </row>
    <row r="48" spans="3:17" ht="18.75">
      <c r="C48" s="5">
        <v>1</v>
      </c>
      <c r="D48" s="8" t="s">
        <v>179</v>
      </c>
      <c r="E48" s="9">
        <v>1</v>
      </c>
      <c r="F48" s="5">
        <v>1</v>
      </c>
      <c r="G48" s="8" t="s">
        <v>301</v>
      </c>
      <c r="H48" s="9">
        <v>10</v>
      </c>
      <c r="J48" s="23" t="s">
        <v>241</v>
      </c>
      <c r="K48" s="24" t="s">
        <v>216</v>
      </c>
      <c r="P48" s="16" t="s">
        <v>96</v>
      </c>
      <c r="Q48" s="9">
        <v>2</v>
      </c>
    </row>
    <row r="49" spans="3:17">
      <c r="C49" s="5">
        <v>1</v>
      </c>
      <c r="D49" s="8" t="s">
        <v>53</v>
      </c>
      <c r="E49" s="9">
        <v>1</v>
      </c>
      <c r="F49" s="5">
        <v>1</v>
      </c>
      <c r="G49" s="8" t="s">
        <v>96</v>
      </c>
      <c r="H49" s="9">
        <v>9</v>
      </c>
      <c r="J49" s="8" t="s">
        <v>266</v>
      </c>
      <c r="K49" s="9">
        <v>349</v>
      </c>
      <c r="P49" s="8" t="s">
        <v>155</v>
      </c>
      <c r="Q49" s="9">
        <v>8</v>
      </c>
    </row>
    <row r="50" spans="3:17">
      <c r="C50" s="5">
        <v>1</v>
      </c>
      <c r="D50" s="8" t="s">
        <v>24</v>
      </c>
      <c r="E50" s="9">
        <v>1</v>
      </c>
      <c r="F50" s="5">
        <v>1</v>
      </c>
      <c r="G50" s="8" t="s">
        <v>91</v>
      </c>
      <c r="H50" s="9">
        <v>9</v>
      </c>
      <c r="J50" s="8" t="s">
        <v>267</v>
      </c>
      <c r="K50" s="9">
        <v>2</v>
      </c>
      <c r="P50" s="16" t="s">
        <v>129</v>
      </c>
      <c r="Q50" s="9">
        <v>2</v>
      </c>
    </row>
    <row r="51" spans="3:17">
      <c r="C51" s="5">
        <v>1</v>
      </c>
      <c r="D51" s="8" t="s">
        <v>38</v>
      </c>
      <c r="E51" s="9">
        <v>1</v>
      </c>
      <c r="F51" s="5">
        <v>1</v>
      </c>
      <c r="G51" s="8" t="s">
        <v>86</v>
      </c>
      <c r="H51" s="9">
        <v>9</v>
      </c>
      <c r="J51" s="8" t="s">
        <v>193</v>
      </c>
      <c r="K51" s="9">
        <v>351</v>
      </c>
      <c r="P51" s="16" t="s">
        <v>91</v>
      </c>
      <c r="Q51" s="9">
        <v>2</v>
      </c>
    </row>
    <row r="52" spans="3:17">
      <c r="C52" s="5">
        <v>1</v>
      </c>
      <c r="D52" s="8" t="s">
        <v>273</v>
      </c>
      <c r="E52" s="9">
        <v>1</v>
      </c>
      <c r="F52" s="5">
        <v>1</v>
      </c>
      <c r="G52" s="8" t="s">
        <v>93</v>
      </c>
      <c r="H52" s="9">
        <v>7</v>
      </c>
      <c r="P52" s="16" t="s">
        <v>353</v>
      </c>
      <c r="Q52" s="9">
        <v>2</v>
      </c>
    </row>
    <row r="53" spans="3:17">
      <c r="C53" s="5">
        <v>1</v>
      </c>
      <c r="D53" s="8" t="s">
        <v>58</v>
      </c>
      <c r="E53" s="9">
        <v>1</v>
      </c>
      <c r="F53" s="5">
        <v>1</v>
      </c>
      <c r="G53" s="8" t="s">
        <v>121</v>
      </c>
      <c r="H53" s="9">
        <v>7</v>
      </c>
      <c r="P53" s="16" t="s">
        <v>364</v>
      </c>
      <c r="Q53" s="9">
        <v>1</v>
      </c>
    </row>
    <row r="54" spans="3:17">
      <c r="C54" s="5">
        <v>1</v>
      </c>
      <c r="D54" s="8" t="s">
        <v>553</v>
      </c>
      <c r="E54" s="9">
        <v>1</v>
      </c>
      <c r="F54" s="5">
        <v>1</v>
      </c>
      <c r="G54" s="8" t="s">
        <v>652</v>
      </c>
      <c r="H54" s="9">
        <v>6</v>
      </c>
      <c r="P54" s="16" t="s">
        <v>331</v>
      </c>
      <c r="Q54" s="9">
        <v>1</v>
      </c>
    </row>
    <row r="55" spans="3:17">
      <c r="C55" s="5">
        <v>1</v>
      </c>
      <c r="D55" s="8" t="s">
        <v>52</v>
      </c>
      <c r="E55" s="9">
        <v>1</v>
      </c>
      <c r="F55" s="5">
        <v>1</v>
      </c>
      <c r="G55" s="8" t="s">
        <v>79</v>
      </c>
      <c r="H55" s="9">
        <v>6</v>
      </c>
      <c r="I55" s="5"/>
      <c r="P55" s="8" t="s">
        <v>161</v>
      </c>
      <c r="Q55" s="9">
        <v>4</v>
      </c>
    </row>
    <row r="56" spans="3:17">
      <c r="C56" s="5">
        <v>1</v>
      </c>
      <c r="D56" s="8" t="s">
        <v>60</v>
      </c>
      <c r="E56" s="9">
        <v>1</v>
      </c>
      <c r="F56" s="5">
        <v>1</v>
      </c>
      <c r="G56" s="8" t="s">
        <v>81</v>
      </c>
      <c r="H56" s="9">
        <v>5</v>
      </c>
      <c r="I56" s="5"/>
      <c r="P56" s="16" t="s">
        <v>91</v>
      </c>
      <c r="Q56" s="9">
        <v>2</v>
      </c>
    </row>
    <row r="57" spans="3:17">
      <c r="C57" s="5">
        <v>1</v>
      </c>
      <c r="D57" s="8" t="s">
        <v>317</v>
      </c>
      <c r="E57" s="9">
        <v>2</v>
      </c>
      <c r="F57" s="5">
        <v>1</v>
      </c>
      <c r="G57" s="8" t="s">
        <v>95</v>
      </c>
      <c r="H57" s="9">
        <v>5</v>
      </c>
      <c r="P57" s="16" t="s">
        <v>840</v>
      </c>
      <c r="Q57" s="9">
        <v>1</v>
      </c>
    </row>
    <row r="58" spans="3:17">
      <c r="C58" s="5">
        <v>1</v>
      </c>
      <c r="D58" s="8" t="s">
        <v>61</v>
      </c>
      <c r="E58" s="9">
        <v>2</v>
      </c>
      <c r="F58" s="5">
        <v>1</v>
      </c>
      <c r="G58" s="8" t="s">
        <v>82</v>
      </c>
      <c r="H58" s="9">
        <v>5</v>
      </c>
      <c r="P58" s="16" t="s">
        <v>125</v>
      </c>
      <c r="Q58" s="9">
        <v>1</v>
      </c>
    </row>
    <row r="59" spans="3:17">
      <c r="C59" s="5">
        <v>1</v>
      </c>
      <c r="D59" s="8" t="s">
        <v>189</v>
      </c>
      <c r="E59" s="9">
        <v>2</v>
      </c>
      <c r="F59" s="5">
        <v>1</v>
      </c>
      <c r="G59" s="8" t="s">
        <v>533</v>
      </c>
      <c r="H59" s="9">
        <v>4</v>
      </c>
      <c r="P59" s="8" t="s">
        <v>424</v>
      </c>
      <c r="Q59" s="9">
        <v>3</v>
      </c>
    </row>
    <row r="60" spans="3:17">
      <c r="C60" s="5">
        <v>1</v>
      </c>
      <c r="D60" s="8" t="s">
        <v>47</v>
      </c>
      <c r="E60" s="9">
        <v>2</v>
      </c>
      <c r="F60" s="5">
        <v>1</v>
      </c>
      <c r="G60" s="8" t="s">
        <v>608</v>
      </c>
      <c r="H60" s="9">
        <v>4</v>
      </c>
      <c r="P60" s="16" t="s">
        <v>81</v>
      </c>
      <c r="Q60" s="9">
        <v>3</v>
      </c>
    </row>
    <row r="61" spans="3:17">
      <c r="C61" s="5">
        <v>1</v>
      </c>
      <c r="D61" s="8" t="s">
        <v>39</v>
      </c>
      <c r="E61" s="9">
        <v>2</v>
      </c>
      <c r="F61" s="5">
        <v>1</v>
      </c>
      <c r="G61" s="8" t="s">
        <v>335</v>
      </c>
      <c r="H61" s="9">
        <v>3</v>
      </c>
      <c r="P61" s="8" t="s">
        <v>144</v>
      </c>
      <c r="Q61" s="9">
        <v>16</v>
      </c>
    </row>
    <row r="62" spans="3:17">
      <c r="C62" s="5">
        <v>1</v>
      </c>
      <c r="D62" s="8" t="s">
        <v>17</v>
      </c>
      <c r="E62" s="9">
        <v>2</v>
      </c>
      <c r="F62" s="5">
        <v>1</v>
      </c>
      <c r="G62" s="8" t="s">
        <v>802</v>
      </c>
      <c r="H62" s="9">
        <v>3</v>
      </c>
      <c r="P62" s="16" t="s">
        <v>121</v>
      </c>
      <c r="Q62" s="9">
        <v>1</v>
      </c>
    </row>
    <row r="63" spans="3:17">
      <c r="C63" s="5">
        <v>1</v>
      </c>
      <c r="D63" s="8" t="s">
        <v>65</v>
      </c>
      <c r="E63" s="9">
        <v>2</v>
      </c>
      <c r="F63" s="5">
        <v>1</v>
      </c>
      <c r="G63" s="8" t="s">
        <v>106</v>
      </c>
      <c r="H63" s="9">
        <v>3</v>
      </c>
      <c r="P63" s="16" t="s">
        <v>741</v>
      </c>
      <c r="Q63" s="9">
        <v>3</v>
      </c>
    </row>
    <row r="64" spans="3:17">
      <c r="C64" s="5">
        <v>1</v>
      </c>
      <c r="D64" s="8" t="s">
        <v>316</v>
      </c>
      <c r="E64" s="9">
        <v>2</v>
      </c>
      <c r="F64" s="5">
        <v>1</v>
      </c>
      <c r="G64" s="8" t="s">
        <v>741</v>
      </c>
      <c r="H64" s="9">
        <v>3</v>
      </c>
      <c r="P64" s="16" t="s">
        <v>89</v>
      </c>
      <c r="Q64" s="9">
        <v>8</v>
      </c>
    </row>
    <row r="65" spans="3:17">
      <c r="C65" s="5">
        <v>1</v>
      </c>
      <c r="D65" s="8" t="s">
        <v>42</v>
      </c>
      <c r="E65" s="9">
        <v>2</v>
      </c>
      <c r="F65" s="5">
        <v>1</v>
      </c>
      <c r="G65" s="8" t="s">
        <v>368</v>
      </c>
      <c r="H65" s="9">
        <v>3</v>
      </c>
      <c r="P65" s="16" t="s">
        <v>106</v>
      </c>
      <c r="Q65" s="9">
        <v>3</v>
      </c>
    </row>
    <row r="66" spans="3:17">
      <c r="C66" s="5">
        <v>1</v>
      </c>
      <c r="D66" s="8" t="s">
        <v>19</v>
      </c>
      <c r="E66" s="9">
        <v>3</v>
      </c>
      <c r="F66" s="5">
        <v>1</v>
      </c>
      <c r="G66" s="8" t="s">
        <v>283</v>
      </c>
      <c r="H66" s="9">
        <v>3</v>
      </c>
      <c r="P66" s="16" t="s">
        <v>73</v>
      </c>
      <c r="Q66" s="9">
        <v>1</v>
      </c>
    </row>
    <row r="67" spans="3:17">
      <c r="C67" s="5">
        <v>1</v>
      </c>
      <c r="D67" s="8" t="s">
        <v>274</v>
      </c>
      <c r="E67" s="9">
        <v>3</v>
      </c>
      <c r="F67" s="5">
        <v>1</v>
      </c>
      <c r="G67" s="8" t="s">
        <v>80</v>
      </c>
      <c r="H67" s="9">
        <v>2</v>
      </c>
      <c r="P67" s="8" t="s">
        <v>138</v>
      </c>
      <c r="Q67" s="9">
        <v>2</v>
      </c>
    </row>
    <row r="68" spans="3:17">
      <c r="C68" s="5">
        <v>1</v>
      </c>
      <c r="D68" s="8" t="s">
        <v>33</v>
      </c>
      <c r="E68" s="9">
        <v>3</v>
      </c>
      <c r="F68" s="5">
        <v>1</v>
      </c>
      <c r="G68" s="8" t="s">
        <v>342</v>
      </c>
      <c r="H68" s="9">
        <v>2</v>
      </c>
      <c r="P68" s="16" t="s">
        <v>722</v>
      </c>
      <c r="Q68" s="9">
        <v>1</v>
      </c>
    </row>
    <row r="69" spans="3:17">
      <c r="C69" s="5">
        <v>1</v>
      </c>
      <c r="D69" s="8" t="s">
        <v>66</v>
      </c>
      <c r="E69" s="9">
        <v>3</v>
      </c>
      <c r="F69" s="5">
        <v>1</v>
      </c>
      <c r="G69" s="8" t="s">
        <v>353</v>
      </c>
      <c r="H69" s="9">
        <v>2</v>
      </c>
      <c r="P69" s="16" t="s">
        <v>268</v>
      </c>
      <c r="Q69" s="9">
        <v>1</v>
      </c>
    </row>
    <row r="70" spans="3:17">
      <c r="C70" s="5">
        <v>1</v>
      </c>
      <c r="D70" s="8" t="s">
        <v>36</v>
      </c>
      <c r="E70" s="9">
        <v>3</v>
      </c>
      <c r="F70" s="5">
        <v>1</v>
      </c>
      <c r="G70" s="8" t="s">
        <v>112</v>
      </c>
      <c r="H70" s="9">
        <v>2</v>
      </c>
      <c r="P70" s="8" t="s">
        <v>156</v>
      </c>
      <c r="Q70" s="9">
        <v>7</v>
      </c>
    </row>
    <row r="71" spans="3:17">
      <c r="C71" s="5">
        <v>1</v>
      </c>
      <c r="D71" s="8" t="s">
        <v>312</v>
      </c>
      <c r="E71" s="9">
        <v>4</v>
      </c>
      <c r="F71" s="5">
        <v>1</v>
      </c>
      <c r="G71" s="8" t="s">
        <v>237</v>
      </c>
      <c r="H71" s="9">
        <v>2</v>
      </c>
      <c r="P71" s="16" t="s">
        <v>129</v>
      </c>
      <c r="Q71" s="9">
        <v>3</v>
      </c>
    </row>
    <row r="72" spans="3:17">
      <c r="C72" s="5">
        <v>1</v>
      </c>
      <c r="D72" s="8" t="s">
        <v>31</v>
      </c>
      <c r="E72" s="9">
        <v>4</v>
      </c>
      <c r="F72" s="5">
        <v>1</v>
      </c>
      <c r="G72" s="8" t="s">
        <v>269</v>
      </c>
      <c r="H72" s="9">
        <v>2</v>
      </c>
      <c r="P72" s="16" t="s">
        <v>122</v>
      </c>
      <c r="Q72" s="9">
        <v>1</v>
      </c>
    </row>
    <row r="73" spans="3:17">
      <c r="C73" s="5">
        <v>1</v>
      </c>
      <c r="D73" s="8" t="s">
        <v>69</v>
      </c>
      <c r="E73" s="9">
        <v>4</v>
      </c>
      <c r="F73" s="5">
        <v>1</v>
      </c>
      <c r="G73" s="8" t="s">
        <v>354</v>
      </c>
      <c r="H73" s="9">
        <v>2</v>
      </c>
      <c r="P73" s="16" t="s">
        <v>96</v>
      </c>
      <c r="Q73" s="9">
        <v>3</v>
      </c>
    </row>
    <row r="74" spans="3:17">
      <c r="C74" s="5">
        <v>1</v>
      </c>
      <c r="D74" s="8" t="s">
        <v>303</v>
      </c>
      <c r="E74" s="9">
        <v>4</v>
      </c>
      <c r="F74" s="5">
        <v>1</v>
      </c>
      <c r="G74" s="8" t="s">
        <v>779</v>
      </c>
      <c r="H74" s="9">
        <v>1</v>
      </c>
      <c r="P74" s="8" t="s">
        <v>137</v>
      </c>
      <c r="Q74" s="9">
        <v>6</v>
      </c>
    </row>
    <row r="75" spans="3:17">
      <c r="C75" s="5">
        <v>1</v>
      </c>
      <c r="D75" s="8" t="s">
        <v>26</v>
      </c>
      <c r="E75" s="9">
        <v>4</v>
      </c>
      <c r="F75" s="5">
        <v>1</v>
      </c>
      <c r="G75" s="8" t="s">
        <v>268</v>
      </c>
      <c r="H75" s="9">
        <v>1</v>
      </c>
      <c r="P75" s="16" t="s">
        <v>129</v>
      </c>
      <c r="Q75" s="9">
        <v>2</v>
      </c>
    </row>
    <row r="76" spans="3:17">
      <c r="C76" s="5">
        <v>1</v>
      </c>
      <c r="D76" s="8" t="s">
        <v>48</v>
      </c>
      <c r="E76" s="9">
        <v>5</v>
      </c>
      <c r="F76" s="5">
        <v>1</v>
      </c>
      <c r="G76" s="8" t="s">
        <v>916</v>
      </c>
      <c r="H76" s="9">
        <v>1</v>
      </c>
      <c r="P76" s="16" t="s">
        <v>91</v>
      </c>
      <c r="Q76" s="9">
        <v>1</v>
      </c>
    </row>
    <row r="77" spans="3:17">
      <c r="C77" s="5">
        <v>1</v>
      </c>
      <c r="D77" s="8" t="s">
        <v>20</v>
      </c>
      <c r="E77" s="9">
        <v>5</v>
      </c>
      <c r="F77" s="5">
        <v>1</v>
      </c>
      <c r="G77" s="8" t="s">
        <v>134</v>
      </c>
      <c r="H77" s="9">
        <v>1</v>
      </c>
      <c r="P77" s="16" t="s">
        <v>121</v>
      </c>
      <c r="Q77" s="9">
        <v>1</v>
      </c>
    </row>
    <row r="78" spans="3:17">
      <c r="C78" s="5">
        <v>1</v>
      </c>
      <c r="D78" s="8" t="s">
        <v>46</v>
      </c>
      <c r="E78" s="9">
        <v>6</v>
      </c>
      <c r="F78" s="5">
        <v>1</v>
      </c>
      <c r="G78" s="8" t="s">
        <v>531</v>
      </c>
      <c r="H78" s="9">
        <v>1</v>
      </c>
      <c r="P78" s="16" t="s">
        <v>802</v>
      </c>
      <c r="Q78" s="9">
        <v>1</v>
      </c>
    </row>
    <row r="79" spans="3:17">
      <c r="C79" s="5">
        <v>1</v>
      </c>
      <c r="D79" s="8" t="s">
        <v>34</v>
      </c>
      <c r="E79" s="9">
        <v>6</v>
      </c>
      <c r="F79" s="5">
        <v>1</v>
      </c>
      <c r="G79" s="8" t="s">
        <v>100</v>
      </c>
      <c r="H79" s="9">
        <v>1</v>
      </c>
      <c r="P79" s="16" t="s">
        <v>608</v>
      </c>
      <c r="Q79" s="9">
        <v>1</v>
      </c>
    </row>
    <row r="80" spans="3:17">
      <c r="C80" s="5">
        <v>1</v>
      </c>
      <c r="D80" s="8" t="s">
        <v>11</v>
      </c>
      <c r="E80" s="9">
        <v>7</v>
      </c>
      <c r="F80" s="5">
        <v>1</v>
      </c>
      <c r="G80" s="8" t="s">
        <v>762</v>
      </c>
      <c r="H80" s="9">
        <v>1</v>
      </c>
      <c r="P80" s="8" t="s">
        <v>145</v>
      </c>
      <c r="Q80" s="9">
        <v>15</v>
      </c>
    </row>
    <row r="81" spans="3:17">
      <c r="C81" s="5">
        <v>1</v>
      </c>
      <c r="D81" s="8" t="s">
        <v>29</v>
      </c>
      <c r="E81" s="9">
        <v>7</v>
      </c>
      <c r="F81" s="5">
        <v>1</v>
      </c>
      <c r="G81" s="8" t="s">
        <v>326</v>
      </c>
      <c r="H81" s="9">
        <v>1</v>
      </c>
      <c r="P81" s="16" t="s">
        <v>86</v>
      </c>
      <c r="Q81" s="9">
        <v>9</v>
      </c>
    </row>
    <row r="82" spans="3:17">
      <c r="C82" s="5">
        <v>1</v>
      </c>
      <c r="D82" s="8" t="s">
        <v>498</v>
      </c>
      <c r="E82" s="9">
        <v>7</v>
      </c>
      <c r="F82" s="5">
        <v>1</v>
      </c>
      <c r="G82" s="8" t="s">
        <v>111</v>
      </c>
      <c r="H82" s="9">
        <v>1</v>
      </c>
      <c r="P82" s="16" t="s">
        <v>368</v>
      </c>
      <c r="Q82" s="9">
        <v>3</v>
      </c>
    </row>
    <row r="83" spans="3:17">
      <c r="C83" s="5">
        <v>1</v>
      </c>
      <c r="D83" s="8" t="s">
        <v>68</v>
      </c>
      <c r="E83" s="9">
        <v>7</v>
      </c>
      <c r="F83" s="5">
        <v>1</v>
      </c>
      <c r="G83" s="8" t="s">
        <v>122</v>
      </c>
      <c r="H83" s="9">
        <v>1</v>
      </c>
      <c r="P83" s="16" t="s">
        <v>269</v>
      </c>
      <c r="Q83" s="9">
        <v>2</v>
      </c>
    </row>
    <row r="84" spans="3:17">
      <c r="C84" s="5">
        <v>1</v>
      </c>
      <c r="D84" s="8" t="s">
        <v>22</v>
      </c>
      <c r="E84" s="9">
        <v>9</v>
      </c>
      <c r="F84" s="5">
        <v>1</v>
      </c>
      <c r="G84" s="8" t="s">
        <v>536</v>
      </c>
      <c r="H84" s="9">
        <v>1</v>
      </c>
      <c r="P84" s="16" t="s">
        <v>608</v>
      </c>
      <c r="Q84" s="9">
        <v>1</v>
      </c>
    </row>
    <row r="85" spans="3:17">
      <c r="C85" s="5">
        <v>1</v>
      </c>
      <c r="D85" s="8" t="s">
        <v>23</v>
      </c>
      <c r="E85" s="9">
        <v>10</v>
      </c>
      <c r="F85" s="5">
        <v>1</v>
      </c>
      <c r="G85" s="8" t="s">
        <v>806</v>
      </c>
      <c r="H85" s="9">
        <v>1</v>
      </c>
      <c r="P85" s="8" t="s">
        <v>158</v>
      </c>
      <c r="Q85" s="9">
        <v>3</v>
      </c>
    </row>
    <row r="86" spans="3:17">
      <c r="C86" s="5">
        <v>1</v>
      </c>
      <c r="D86" s="8" t="s">
        <v>32</v>
      </c>
      <c r="E86" s="9">
        <v>11</v>
      </c>
      <c r="F86" s="5">
        <v>1</v>
      </c>
      <c r="G86" s="8" t="s">
        <v>511</v>
      </c>
      <c r="H86" s="9">
        <v>1</v>
      </c>
      <c r="P86" s="16" t="s">
        <v>129</v>
      </c>
      <c r="Q86" s="9">
        <v>2</v>
      </c>
    </row>
    <row r="87" spans="3:17">
      <c r="C87" s="5">
        <v>1</v>
      </c>
      <c r="D87" s="8" t="s">
        <v>21</v>
      </c>
      <c r="E87" s="9">
        <v>11</v>
      </c>
      <c r="F87" s="5">
        <v>1</v>
      </c>
      <c r="G87" s="8" t="s">
        <v>364</v>
      </c>
      <c r="H87" s="9">
        <v>1</v>
      </c>
      <c r="P87" s="16" t="s">
        <v>96</v>
      </c>
      <c r="Q87" s="9">
        <v>1</v>
      </c>
    </row>
    <row r="88" spans="3:17">
      <c r="C88" s="5">
        <v>1</v>
      </c>
      <c r="D88" s="8" t="s">
        <v>16</v>
      </c>
      <c r="E88" s="9">
        <v>12</v>
      </c>
      <c r="F88" s="5">
        <v>1</v>
      </c>
      <c r="G88" s="8" t="s">
        <v>178</v>
      </c>
      <c r="H88" s="9">
        <v>1</v>
      </c>
      <c r="P88" s="8" t="s">
        <v>162</v>
      </c>
      <c r="Q88" s="9">
        <v>6</v>
      </c>
    </row>
    <row r="89" spans="3:17">
      <c r="C89" s="5">
        <v>1</v>
      </c>
      <c r="D89" s="8" t="s">
        <v>25</v>
      </c>
      <c r="E89" s="9">
        <v>13</v>
      </c>
      <c r="F89" s="5">
        <v>1</v>
      </c>
      <c r="G89" s="8" t="s">
        <v>125</v>
      </c>
      <c r="H89" s="9">
        <v>1</v>
      </c>
      <c r="P89" s="16" t="s">
        <v>237</v>
      </c>
      <c r="Q89" s="9">
        <v>2</v>
      </c>
    </row>
    <row r="90" spans="3:17">
      <c r="C90" s="5">
        <v>1</v>
      </c>
      <c r="D90" s="8" t="s">
        <v>13</v>
      </c>
      <c r="E90" s="9">
        <v>19</v>
      </c>
      <c r="F90" s="5">
        <v>1</v>
      </c>
      <c r="G90" s="8" t="s">
        <v>722</v>
      </c>
      <c r="H90" s="9">
        <v>1</v>
      </c>
      <c r="P90" s="16" t="s">
        <v>335</v>
      </c>
      <c r="Q90" s="9">
        <v>3</v>
      </c>
    </row>
    <row r="91" spans="3:17">
      <c r="C91" s="5">
        <v>1</v>
      </c>
      <c r="D91" s="8" t="s">
        <v>18</v>
      </c>
      <c r="E91" s="9">
        <v>38</v>
      </c>
      <c r="F91" s="5">
        <v>1</v>
      </c>
      <c r="G91" s="8" t="s">
        <v>331</v>
      </c>
      <c r="H91" s="9">
        <v>1</v>
      </c>
      <c r="P91" s="16" t="s">
        <v>134</v>
      </c>
      <c r="Q91" s="9">
        <v>1</v>
      </c>
    </row>
    <row r="92" spans="3:17">
      <c r="C92">
        <f ca="1">SUM(C40:C99)</f>
        <v>52</v>
      </c>
      <c r="D92" s="8" t="s">
        <v>12</v>
      </c>
      <c r="E92" s="9">
        <v>108</v>
      </c>
      <c r="F92" s="5">
        <v>1</v>
      </c>
      <c r="G92" s="8" t="s">
        <v>904</v>
      </c>
      <c r="H92" s="9">
        <v>1</v>
      </c>
      <c r="P92" s="8" t="s">
        <v>192</v>
      </c>
      <c r="Q92" s="9">
        <v>222</v>
      </c>
    </row>
    <row r="93" spans="3:17">
      <c r="C93" s="5"/>
      <c r="D93" s="8" t="s">
        <v>193</v>
      </c>
      <c r="E93" s="9">
        <v>351</v>
      </c>
      <c r="F93" s="5">
        <v>1</v>
      </c>
      <c r="G93" s="8" t="s">
        <v>649</v>
      </c>
      <c r="H93" s="9">
        <v>1</v>
      </c>
      <c r="P93" s="16" t="s">
        <v>91</v>
      </c>
      <c r="Q93" s="9">
        <v>2</v>
      </c>
    </row>
    <row r="94" spans="3:17">
      <c r="C94" s="5"/>
      <c r="F94" s="5">
        <v>1</v>
      </c>
      <c r="G94" s="8" t="s">
        <v>840</v>
      </c>
      <c r="H94" s="9">
        <v>1</v>
      </c>
      <c r="P94" s="16" t="s">
        <v>83</v>
      </c>
      <c r="Q94" s="9">
        <v>14</v>
      </c>
    </row>
    <row r="95" spans="3:17">
      <c r="C95" s="5"/>
      <c r="F95" s="5">
        <v>1</v>
      </c>
      <c r="G95" s="8" t="s">
        <v>612</v>
      </c>
      <c r="H95" s="9">
        <v>1</v>
      </c>
      <c r="P95" s="16" t="s">
        <v>79</v>
      </c>
      <c r="Q95" s="9">
        <v>6</v>
      </c>
    </row>
    <row r="96" spans="3:17">
      <c r="F96" s="5">
        <v>1</v>
      </c>
      <c r="G96" s="8" t="s">
        <v>75</v>
      </c>
      <c r="H96" s="9">
        <v>1</v>
      </c>
      <c r="P96" s="16" t="s">
        <v>916</v>
      </c>
      <c r="Q96" s="9">
        <v>1</v>
      </c>
    </row>
    <row r="97" spans="4:17">
      <c r="F97" s="5">
        <v>1</v>
      </c>
      <c r="G97" s="8" t="s">
        <v>104</v>
      </c>
      <c r="H97" s="9">
        <v>1</v>
      </c>
      <c r="P97" s="16" t="s">
        <v>354</v>
      </c>
      <c r="Q97" s="9">
        <v>2</v>
      </c>
    </row>
    <row r="98" spans="4:17">
      <c r="F98">
        <f>SUM(F40:F97)</f>
        <v>58</v>
      </c>
      <c r="G98" s="8" t="s">
        <v>193</v>
      </c>
      <c r="H98" s="9">
        <v>351</v>
      </c>
      <c r="P98" s="16" t="s">
        <v>652</v>
      </c>
      <c r="Q98" s="9">
        <v>6</v>
      </c>
    </row>
    <row r="99" spans="4:17">
      <c r="P99" s="16" t="s">
        <v>342</v>
      </c>
      <c r="Q99" s="9">
        <v>2</v>
      </c>
    </row>
    <row r="100" spans="4:17">
      <c r="P100" s="16" t="s">
        <v>94</v>
      </c>
      <c r="Q100" s="9">
        <v>35</v>
      </c>
    </row>
    <row r="101" spans="4:17">
      <c r="P101" s="16" t="s">
        <v>302</v>
      </c>
      <c r="Q101" s="9">
        <v>11</v>
      </c>
    </row>
    <row r="102" spans="4:17">
      <c r="P102" s="16" t="s">
        <v>121</v>
      </c>
      <c r="Q102" s="9">
        <v>3</v>
      </c>
    </row>
    <row r="103" spans="4:17" ht="15.75" thickBot="1">
      <c r="P103" s="16" t="s">
        <v>612</v>
      </c>
      <c r="Q103" s="9">
        <v>1</v>
      </c>
    </row>
    <row r="104" spans="4:17" ht="18.75">
      <c r="D104" s="147" t="s">
        <v>358</v>
      </c>
      <c r="E104" s="148"/>
      <c r="P104" s="16" t="s">
        <v>71</v>
      </c>
      <c r="Q104" s="9">
        <v>82</v>
      </c>
    </row>
    <row r="105" spans="4:17" ht="19.5" thickBot="1">
      <c r="D105" s="80" t="s">
        <v>357</v>
      </c>
      <c r="E105" s="81" t="s">
        <v>216</v>
      </c>
      <c r="P105" s="16" t="s">
        <v>762</v>
      </c>
      <c r="Q105" s="9">
        <v>1</v>
      </c>
    </row>
    <row r="106" spans="4:17">
      <c r="D106" s="82" t="s">
        <v>22</v>
      </c>
      <c r="E106" s="83">
        <v>9</v>
      </c>
      <c r="P106" s="16" t="s">
        <v>806</v>
      </c>
      <c r="Q106" s="9">
        <v>1</v>
      </c>
    </row>
    <row r="107" spans="4:17">
      <c r="D107" s="76" t="s">
        <v>16</v>
      </c>
      <c r="E107" s="77">
        <v>10</v>
      </c>
      <c r="P107" s="16" t="s">
        <v>75</v>
      </c>
      <c r="Q107" s="9">
        <v>1</v>
      </c>
    </row>
    <row r="108" spans="4:17">
      <c r="D108" s="76" t="s">
        <v>23</v>
      </c>
      <c r="E108" s="77">
        <v>10</v>
      </c>
      <c r="P108" s="16" t="s">
        <v>89</v>
      </c>
      <c r="Q108" s="9">
        <v>8</v>
      </c>
    </row>
    <row r="109" spans="4:17">
      <c r="D109" s="76" t="s">
        <v>21</v>
      </c>
      <c r="E109" s="77">
        <v>11</v>
      </c>
      <c r="P109" s="16" t="s">
        <v>76</v>
      </c>
      <c r="Q109" s="9">
        <v>11</v>
      </c>
    </row>
    <row r="110" spans="4:17">
      <c r="D110" s="76" t="s">
        <v>32</v>
      </c>
      <c r="E110" s="77">
        <v>12</v>
      </c>
      <c r="P110" s="16" t="s">
        <v>100</v>
      </c>
      <c r="Q110" s="9">
        <v>1</v>
      </c>
    </row>
    <row r="111" spans="4:17">
      <c r="D111" s="76" t="s">
        <v>25</v>
      </c>
      <c r="E111" s="77">
        <v>13</v>
      </c>
      <c r="P111" s="16" t="s">
        <v>82</v>
      </c>
      <c r="Q111" s="9">
        <v>5</v>
      </c>
    </row>
    <row r="112" spans="4:17">
      <c r="D112" s="76" t="s">
        <v>13</v>
      </c>
      <c r="E112" s="77">
        <v>19</v>
      </c>
      <c r="P112" s="16" t="s">
        <v>96</v>
      </c>
      <c r="Q112" s="9">
        <v>2</v>
      </c>
    </row>
    <row r="113" spans="4:17">
      <c r="D113" s="76" t="s">
        <v>18</v>
      </c>
      <c r="E113" s="77">
        <v>38</v>
      </c>
      <c r="P113" s="16" t="s">
        <v>301</v>
      </c>
      <c r="Q113" s="9">
        <v>10</v>
      </c>
    </row>
    <row r="114" spans="4:17" ht="15.75" thickBot="1">
      <c r="D114" s="78" t="s">
        <v>12</v>
      </c>
      <c r="E114" s="79">
        <v>107</v>
      </c>
      <c r="P114" s="16" t="s">
        <v>904</v>
      </c>
      <c r="Q114" s="9">
        <v>1</v>
      </c>
    </row>
    <row r="115" spans="4:17">
      <c r="P115" s="16" t="s">
        <v>112</v>
      </c>
      <c r="Q115" s="9">
        <v>2</v>
      </c>
    </row>
    <row r="116" spans="4:17">
      <c r="P116" s="16" t="s">
        <v>73</v>
      </c>
      <c r="Q116" s="9">
        <v>14</v>
      </c>
    </row>
    <row r="117" spans="4:17">
      <c r="P117" s="8" t="s">
        <v>167</v>
      </c>
      <c r="Q117" s="9">
        <v>7</v>
      </c>
    </row>
    <row r="118" spans="4:17">
      <c r="P118" s="16" t="s">
        <v>104</v>
      </c>
      <c r="Q118" s="9">
        <v>1</v>
      </c>
    </row>
    <row r="119" spans="4:17">
      <c r="P119" s="16" t="s">
        <v>111</v>
      </c>
      <c r="Q119" s="9">
        <v>1</v>
      </c>
    </row>
    <row r="120" spans="4:17">
      <c r="P120" s="16" t="s">
        <v>178</v>
      </c>
      <c r="Q120" s="9">
        <v>1</v>
      </c>
    </row>
    <row r="121" spans="4:17">
      <c r="P121" s="16" t="s">
        <v>533</v>
      </c>
      <c r="Q121" s="9">
        <v>4</v>
      </c>
    </row>
    <row r="122" spans="4:17">
      <c r="P122" s="8" t="s">
        <v>148</v>
      </c>
      <c r="Q122" s="9">
        <v>3</v>
      </c>
    </row>
    <row r="123" spans="4:17">
      <c r="P123" s="16" t="s">
        <v>129</v>
      </c>
      <c r="Q123" s="9">
        <v>2</v>
      </c>
    </row>
    <row r="124" spans="4:17">
      <c r="P124" s="16" t="s">
        <v>94</v>
      </c>
      <c r="Q124" s="9">
        <v>1</v>
      </c>
    </row>
    <row r="125" spans="4:17">
      <c r="P125" s="8" t="s">
        <v>313</v>
      </c>
      <c r="Q125" s="9">
        <v>4</v>
      </c>
    </row>
    <row r="126" spans="4:17">
      <c r="P126" s="16" t="s">
        <v>802</v>
      </c>
      <c r="Q126" s="9">
        <v>2</v>
      </c>
    </row>
    <row r="127" spans="4:17">
      <c r="P127" s="16" t="s">
        <v>608</v>
      </c>
      <c r="Q127" s="9">
        <v>2</v>
      </c>
    </row>
    <row r="128" spans="4:17">
      <c r="P128" s="8" t="s">
        <v>151</v>
      </c>
      <c r="Q128" s="9">
        <v>9</v>
      </c>
    </row>
    <row r="129" spans="16:17">
      <c r="P129" s="16" t="s">
        <v>93</v>
      </c>
      <c r="Q129" s="9">
        <v>6</v>
      </c>
    </row>
    <row r="130" spans="16:17">
      <c r="P130" s="16" t="s">
        <v>80</v>
      </c>
      <c r="Q130" s="9">
        <v>1</v>
      </c>
    </row>
    <row r="131" spans="16:17">
      <c r="P131" s="16" t="s">
        <v>649</v>
      </c>
      <c r="Q131" s="9">
        <v>1</v>
      </c>
    </row>
    <row r="132" spans="16:17">
      <c r="P132" s="16" t="s">
        <v>779</v>
      </c>
      <c r="Q132" s="9">
        <v>1</v>
      </c>
    </row>
    <row r="133" spans="16:17">
      <c r="P133" s="8" t="s">
        <v>377</v>
      </c>
      <c r="Q133" s="9">
        <v>1</v>
      </c>
    </row>
    <row r="134" spans="16:17">
      <c r="P134" s="16" t="s">
        <v>326</v>
      </c>
      <c r="Q134" s="9">
        <v>1</v>
      </c>
    </row>
    <row r="135" spans="16:17">
      <c r="P135" s="8" t="s">
        <v>452</v>
      </c>
      <c r="Q135" s="9">
        <v>1</v>
      </c>
    </row>
    <row r="136" spans="16:17">
      <c r="P136" s="16" t="s">
        <v>91</v>
      </c>
      <c r="Q136" s="9">
        <v>1</v>
      </c>
    </row>
    <row r="137" spans="16:17">
      <c r="P137" s="8" t="s">
        <v>439</v>
      </c>
      <c r="Q137" s="9">
        <v>1</v>
      </c>
    </row>
    <row r="138" spans="16:17">
      <c r="P138" s="16" t="s">
        <v>129</v>
      </c>
      <c r="Q138" s="9">
        <v>1</v>
      </c>
    </row>
    <row r="139" spans="16:17">
      <c r="P139" s="8" t="s">
        <v>469</v>
      </c>
      <c r="Q139" s="9">
        <v>1</v>
      </c>
    </row>
    <row r="140" spans="16:17">
      <c r="P140" s="16" t="s">
        <v>96</v>
      </c>
      <c r="Q140" s="9">
        <v>1</v>
      </c>
    </row>
    <row r="141" spans="16:17">
      <c r="P141" s="8" t="s">
        <v>530</v>
      </c>
      <c r="Q141" s="9">
        <v>2</v>
      </c>
    </row>
    <row r="142" spans="16:17">
      <c r="P142" s="16" t="s">
        <v>531</v>
      </c>
      <c r="Q142" s="9">
        <v>1</v>
      </c>
    </row>
    <row r="143" spans="16:17">
      <c r="P143" s="16" t="s">
        <v>536</v>
      </c>
      <c r="Q143" s="9">
        <v>1</v>
      </c>
    </row>
    <row r="144" spans="16:17">
      <c r="P144" s="8" t="s">
        <v>513</v>
      </c>
      <c r="Q144" s="9">
        <v>1</v>
      </c>
    </row>
    <row r="145" spans="16:17">
      <c r="P145" s="16" t="s">
        <v>511</v>
      </c>
      <c r="Q145" s="9">
        <v>1</v>
      </c>
    </row>
    <row r="146" spans="16:17">
      <c r="P146" s="8" t="s">
        <v>507</v>
      </c>
      <c r="Q146" s="9">
        <v>1</v>
      </c>
    </row>
    <row r="147" spans="16:17">
      <c r="P147" s="16" t="s">
        <v>91</v>
      </c>
      <c r="Q147" s="9">
        <v>1</v>
      </c>
    </row>
    <row r="148" spans="16:17">
      <c r="P148" s="8" t="s">
        <v>497</v>
      </c>
      <c r="Q148" s="9">
        <v>2</v>
      </c>
    </row>
    <row r="149" spans="16:17">
      <c r="P149" s="16" t="s">
        <v>93</v>
      </c>
      <c r="Q149" s="9">
        <v>1</v>
      </c>
    </row>
    <row r="150" spans="16:17">
      <c r="P150" s="16" t="s">
        <v>80</v>
      </c>
      <c r="Q150" s="9">
        <v>1</v>
      </c>
    </row>
    <row r="151" spans="16:17">
      <c r="P151" s="8" t="s">
        <v>502</v>
      </c>
      <c r="Q151" s="9">
        <v>1</v>
      </c>
    </row>
    <row r="152" spans="16:17">
      <c r="P152" s="16" t="s">
        <v>129</v>
      </c>
      <c r="Q152" s="9">
        <v>1</v>
      </c>
    </row>
    <row r="153" spans="16:17">
      <c r="P153" s="8" t="s">
        <v>193</v>
      </c>
      <c r="Q153" s="9">
        <v>351</v>
      </c>
    </row>
  </sheetData>
  <mergeCells count="2">
    <mergeCell ref="D1:E3"/>
    <mergeCell ref="D104:E104"/>
  </mergeCells>
  <pageMargins left="0.7" right="0.7" top="0.75" bottom="0.75" header="0.3" footer="0.3"/>
  <pageSetup orientation="portrait" verticalDpi="0" r:id="rId9"/>
  <drawing r:id="rId10"/>
</worksheet>
</file>

<file path=xl/worksheets/sheet5.xml><?xml version="1.0" encoding="utf-8"?>
<worksheet xmlns="http://schemas.openxmlformats.org/spreadsheetml/2006/main" xmlns:r="http://schemas.openxmlformats.org/officeDocument/2006/relationships">
  <dimension ref="A1:Q135"/>
  <sheetViews>
    <sheetView topLeftCell="D1" workbookViewId="0">
      <pane ySplit="1515" topLeftCell="A10" activePane="bottomLeft"/>
      <selection activeCell="G1" sqref="G1:G1048576"/>
      <selection pane="bottomLeft" activeCell="I23" sqref="I23"/>
    </sheetView>
  </sheetViews>
  <sheetFormatPr baseColWidth="10" defaultRowHeight="15"/>
  <cols>
    <col min="1" max="1" width="7.140625" customWidth="1"/>
    <col min="2" max="2" width="27" customWidth="1"/>
    <col min="3" max="3" width="30" customWidth="1"/>
    <col min="4" max="4" width="27.140625" customWidth="1"/>
    <col min="5" max="5" width="47.7109375" customWidth="1"/>
    <col min="6" max="6" width="4.140625" bestFit="1" customWidth="1"/>
    <col min="7" max="7" width="23.85546875" customWidth="1"/>
    <col min="8" max="8" width="38.140625" customWidth="1"/>
    <col min="9" max="9" width="17.28515625" style="5" bestFit="1" customWidth="1"/>
    <col min="10" max="10" width="17.28515625" bestFit="1" customWidth="1"/>
    <col min="11" max="11" width="20.85546875" customWidth="1"/>
    <col min="12" max="12" width="16.85546875" customWidth="1"/>
    <col min="13" max="13" width="19.28515625" customWidth="1"/>
    <col min="14" max="14" width="17.5703125" customWidth="1"/>
    <col min="15" max="15" width="72.42578125" customWidth="1"/>
  </cols>
  <sheetData>
    <row r="1" spans="1:17" ht="15.75">
      <c r="A1" s="169" t="s">
        <v>929</v>
      </c>
      <c r="B1" s="169"/>
      <c r="C1" s="169"/>
      <c r="D1" s="169"/>
      <c r="E1" s="169"/>
    </row>
    <row r="2" spans="1:17">
      <c r="A2" s="72"/>
      <c r="B2" s="154" t="s">
        <v>6</v>
      </c>
      <c r="C2" s="154" t="s">
        <v>925</v>
      </c>
      <c r="D2" s="168" t="s">
        <v>920</v>
      </c>
      <c r="E2" s="5"/>
      <c r="H2" s="105"/>
      <c r="I2" s="105"/>
      <c r="J2" s="105"/>
      <c r="K2" s="105"/>
      <c r="L2" s="105"/>
      <c r="M2" s="105"/>
      <c r="N2" s="105"/>
      <c r="O2" s="105"/>
      <c r="P2" s="105"/>
      <c r="Q2" s="105"/>
    </row>
    <row r="3" spans="1:17">
      <c r="A3" s="72"/>
      <c r="B3" s="154"/>
      <c r="C3" s="154"/>
      <c r="D3" s="168"/>
      <c r="F3" s="151" t="s">
        <v>941</v>
      </c>
      <c r="G3" s="170" t="s">
        <v>6</v>
      </c>
      <c r="H3" s="168" t="s">
        <v>365</v>
      </c>
      <c r="I3" s="154" t="s">
        <v>989</v>
      </c>
      <c r="J3" s="168" t="s">
        <v>990</v>
      </c>
      <c r="K3" s="154" t="s">
        <v>991</v>
      </c>
      <c r="L3" s="154" t="s">
        <v>992</v>
      </c>
      <c r="M3" s="165" t="s">
        <v>977</v>
      </c>
      <c r="N3" s="154" t="s">
        <v>993</v>
      </c>
      <c r="O3" s="168" t="s">
        <v>1005</v>
      </c>
      <c r="P3" s="154"/>
      <c r="Q3" s="168"/>
    </row>
    <row r="4" spans="1:17">
      <c r="A4" s="71">
        <v>1</v>
      </c>
      <c r="B4" s="73" t="s">
        <v>71</v>
      </c>
      <c r="C4" s="73"/>
      <c r="D4" s="73" t="s">
        <v>924</v>
      </c>
      <c r="F4" s="153"/>
      <c r="G4" s="171"/>
      <c r="H4" s="168"/>
      <c r="I4" s="154"/>
      <c r="J4" s="168"/>
      <c r="K4" s="154"/>
      <c r="L4" s="154"/>
      <c r="M4" s="167"/>
      <c r="N4" s="154"/>
      <c r="O4" s="168"/>
      <c r="P4" s="154"/>
      <c r="Q4" s="168"/>
    </row>
    <row r="5" spans="1:17" s="5" customFormat="1">
      <c r="A5" s="71"/>
      <c r="B5" s="85"/>
      <c r="C5" s="85"/>
      <c r="D5" s="85"/>
      <c r="F5" s="152">
        <v>1</v>
      </c>
      <c r="G5" s="155" t="s">
        <v>71</v>
      </c>
      <c r="H5" s="104" t="s">
        <v>982</v>
      </c>
      <c r="I5" s="165" t="s">
        <v>994</v>
      </c>
      <c r="J5" s="165" t="s">
        <v>994</v>
      </c>
      <c r="K5" s="165" t="s">
        <v>994</v>
      </c>
      <c r="L5" s="165" t="s">
        <v>994</v>
      </c>
      <c r="M5" s="91" t="s">
        <v>977</v>
      </c>
      <c r="N5" s="165" t="s">
        <v>994</v>
      </c>
      <c r="O5" s="85"/>
      <c r="P5" s="84"/>
      <c r="Q5" s="85"/>
    </row>
    <row r="6" spans="1:17">
      <c r="A6" s="71">
        <v>2</v>
      </c>
      <c r="B6" s="73" t="s">
        <v>921</v>
      </c>
      <c r="C6" s="73" t="s">
        <v>926</v>
      </c>
      <c r="D6" s="73"/>
      <c r="F6" s="152"/>
      <c r="G6" s="156"/>
      <c r="H6" s="104" t="s">
        <v>983</v>
      </c>
      <c r="I6" s="166"/>
      <c r="J6" s="166"/>
      <c r="K6" s="166"/>
      <c r="L6" s="166"/>
      <c r="M6" s="91" t="s">
        <v>977</v>
      </c>
      <c r="N6" s="166"/>
      <c r="O6" s="71"/>
      <c r="P6" s="71"/>
      <c r="Q6" s="71"/>
    </row>
    <row r="7" spans="1:17" s="5" customFormat="1">
      <c r="A7" s="71">
        <v>3</v>
      </c>
      <c r="B7" s="73" t="s">
        <v>83</v>
      </c>
      <c r="C7" s="73"/>
      <c r="D7" s="73" t="s">
        <v>924</v>
      </c>
      <c r="F7" s="152"/>
      <c r="G7" s="156"/>
      <c r="H7" s="104" t="s">
        <v>984</v>
      </c>
      <c r="I7" s="166"/>
      <c r="J7" s="166"/>
      <c r="K7" s="166"/>
      <c r="L7" s="166"/>
      <c r="M7" s="91" t="s">
        <v>977</v>
      </c>
      <c r="N7" s="166"/>
      <c r="O7" s="71"/>
      <c r="P7" s="71"/>
      <c r="Q7" s="71"/>
    </row>
    <row r="8" spans="1:17" s="5" customFormat="1">
      <c r="A8" s="71"/>
      <c r="B8" s="91"/>
      <c r="C8" s="91"/>
      <c r="D8" s="91"/>
      <c r="F8" s="152"/>
      <c r="G8" s="156"/>
      <c r="H8" s="99" t="s">
        <v>985</v>
      </c>
      <c r="I8" s="166"/>
      <c r="J8" s="166"/>
      <c r="K8" s="166"/>
      <c r="L8" s="166"/>
      <c r="M8" s="91" t="s">
        <v>977</v>
      </c>
      <c r="N8" s="166"/>
      <c r="O8" s="71"/>
      <c r="P8" s="71"/>
      <c r="Q8" s="71"/>
    </row>
    <row r="9" spans="1:17" s="5" customFormat="1">
      <c r="A9" s="71"/>
      <c r="B9" s="91"/>
      <c r="C9" s="91"/>
      <c r="D9" s="91"/>
      <c r="F9" s="152"/>
      <c r="G9" s="156"/>
      <c r="H9" s="104" t="s">
        <v>986</v>
      </c>
      <c r="I9" s="166"/>
      <c r="J9" s="166"/>
      <c r="K9" s="166"/>
      <c r="L9" s="166"/>
      <c r="M9" s="91" t="s">
        <v>977</v>
      </c>
      <c r="N9" s="166"/>
      <c r="O9" s="71"/>
      <c r="P9" s="71"/>
      <c r="Q9" s="71"/>
    </row>
    <row r="10" spans="1:17" s="5" customFormat="1">
      <c r="A10" s="71"/>
      <c r="B10" s="91"/>
      <c r="C10" s="91"/>
      <c r="D10" s="91"/>
      <c r="F10" s="152"/>
      <c r="G10" s="156"/>
      <c r="H10" s="104" t="s">
        <v>987</v>
      </c>
      <c r="I10" s="166"/>
      <c r="J10" s="166"/>
      <c r="K10" s="166"/>
      <c r="L10" s="166"/>
      <c r="M10" s="91" t="s">
        <v>977</v>
      </c>
      <c r="N10" s="166"/>
      <c r="O10" s="71"/>
      <c r="P10" s="71"/>
      <c r="Q10" s="71"/>
    </row>
    <row r="11" spans="1:17" s="5" customFormat="1">
      <c r="A11" s="71"/>
      <c r="B11" s="91"/>
      <c r="C11" s="91"/>
      <c r="D11" s="91"/>
      <c r="F11" s="152"/>
      <c r="G11" s="156"/>
      <c r="H11" s="104" t="s">
        <v>976</v>
      </c>
      <c r="I11" s="166"/>
      <c r="J11" s="166"/>
      <c r="K11" s="166"/>
      <c r="L11" s="166"/>
      <c r="M11" s="91" t="s">
        <v>977</v>
      </c>
      <c r="N11" s="166"/>
      <c r="O11" s="71"/>
      <c r="P11" s="71"/>
      <c r="Q11" s="71"/>
    </row>
    <row r="12" spans="1:17" s="5" customFormat="1">
      <c r="A12" s="71"/>
      <c r="B12" s="71">
        <v>6</v>
      </c>
      <c r="C12" s="73" t="s">
        <v>652</v>
      </c>
      <c r="D12" s="73"/>
      <c r="E12" s="73" t="s">
        <v>924</v>
      </c>
      <c r="F12" s="152"/>
      <c r="G12" s="156"/>
      <c r="H12" s="104" t="s">
        <v>978</v>
      </c>
      <c r="I12" s="166"/>
      <c r="J12" s="166"/>
      <c r="K12" s="166"/>
      <c r="L12" s="166"/>
      <c r="M12" s="91" t="s">
        <v>977</v>
      </c>
      <c r="N12" s="166"/>
      <c r="O12" s="71"/>
      <c r="P12" s="71"/>
      <c r="Q12" s="71"/>
    </row>
    <row r="13" spans="1:17" s="5" customFormat="1">
      <c r="A13" s="71"/>
      <c r="B13" s="71">
        <v>9</v>
      </c>
      <c r="C13" s="125" t="s">
        <v>923</v>
      </c>
      <c r="D13" s="125"/>
      <c r="E13" s="125" t="s">
        <v>928</v>
      </c>
      <c r="F13" s="152"/>
      <c r="G13" s="156"/>
      <c r="H13" s="104" t="s">
        <v>979</v>
      </c>
      <c r="I13" s="166"/>
      <c r="J13" s="166"/>
      <c r="K13" s="166"/>
      <c r="L13" s="166"/>
      <c r="M13" s="91" t="s">
        <v>977</v>
      </c>
      <c r="N13" s="166"/>
      <c r="O13" s="71"/>
      <c r="P13" s="71"/>
      <c r="Q13" s="71"/>
    </row>
    <row r="14" spans="1:17" s="5" customFormat="1">
      <c r="A14" s="86"/>
      <c r="B14" s="86">
        <v>10</v>
      </c>
      <c r="C14" s="126" t="s">
        <v>100</v>
      </c>
      <c r="D14" s="126"/>
      <c r="E14" s="125" t="s">
        <v>928</v>
      </c>
      <c r="F14" s="152"/>
      <c r="G14" s="156"/>
      <c r="H14" s="104" t="s">
        <v>980</v>
      </c>
      <c r="I14" s="166"/>
      <c r="J14" s="166"/>
      <c r="K14" s="166"/>
      <c r="L14" s="166"/>
      <c r="M14" s="91" t="s">
        <v>977</v>
      </c>
      <c r="N14" s="166"/>
      <c r="O14" s="71"/>
      <c r="P14" s="71"/>
      <c r="Q14" s="71"/>
    </row>
    <row r="15" spans="1:17" s="5" customFormat="1">
      <c r="A15" s="134"/>
      <c r="B15" s="135">
        <v>11</v>
      </c>
      <c r="C15" s="127" t="s">
        <v>301</v>
      </c>
      <c r="D15" s="136"/>
      <c r="E15" s="133" t="s">
        <v>927</v>
      </c>
      <c r="F15" s="153"/>
      <c r="G15" s="157"/>
      <c r="H15" s="104" t="s">
        <v>981</v>
      </c>
      <c r="I15" s="167"/>
      <c r="J15" s="167"/>
      <c r="K15" s="167"/>
      <c r="L15" s="167"/>
      <c r="M15" s="91" t="s">
        <v>977</v>
      </c>
      <c r="N15" s="167"/>
      <c r="O15" s="71"/>
      <c r="P15" s="71"/>
      <c r="Q15" s="71"/>
    </row>
    <row r="16" spans="1:17" s="5" customFormat="1" ht="21">
      <c r="A16" s="72"/>
      <c r="B16" s="87"/>
      <c r="C16" s="87"/>
      <c r="D16" s="87"/>
      <c r="E16" s="101"/>
      <c r="F16" s="163">
        <v>2</v>
      </c>
      <c r="G16" s="176" t="s">
        <v>921</v>
      </c>
      <c r="H16" s="158" t="s">
        <v>994</v>
      </c>
      <c r="I16" s="158" t="s">
        <v>994</v>
      </c>
      <c r="J16" s="158" t="s">
        <v>994</v>
      </c>
      <c r="K16" s="158" t="s">
        <v>994</v>
      </c>
      <c r="L16" s="158" t="s">
        <v>994</v>
      </c>
      <c r="M16" s="158" t="s">
        <v>994</v>
      </c>
      <c r="N16" s="158" t="s">
        <v>994</v>
      </c>
      <c r="O16" s="71"/>
      <c r="P16" s="71"/>
      <c r="Q16" s="71"/>
    </row>
    <row r="17" spans="1:17" ht="21">
      <c r="A17" s="72"/>
      <c r="B17" s="72"/>
      <c r="C17" s="72"/>
      <c r="D17" s="72"/>
      <c r="E17" s="101"/>
      <c r="F17" s="164"/>
      <c r="G17" s="176"/>
      <c r="H17" s="160"/>
      <c r="I17" s="160"/>
      <c r="J17" s="160"/>
      <c r="K17" s="160"/>
      <c r="L17" s="160"/>
      <c r="M17" s="160"/>
      <c r="N17" s="160"/>
      <c r="O17" s="71"/>
      <c r="P17" s="71"/>
      <c r="Q17" s="71"/>
    </row>
    <row r="18" spans="1:17" s="5" customFormat="1" ht="21">
      <c r="A18" s="72"/>
      <c r="B18" s="87"/>
      <c r="C18" s="87"/>
      <c r="D18" s="87"/>
      <c r="E18" s="101"/>
      <c r="F18" s="163">
        <v>3</v>
      </c>
      <c r="G18" s="173" t="s">
        <v>83</v>
      </c>
      <c r="H18" s="99" t="s">
        <v>1009</v>
      </c>
      <c r="I18" s="100" t="s">
        <v>996</v>
      </c>
      <c r="J18" s="158" t="s">
        <v>994</v>
      </c>
      <c r="K18" s="92"/>
      <c r="L18" s="158" t="s">
        <v>574</v>
      </c>
      <c r="M18" s="92"/>
      <c r="N18" s="92"/>
      <c r="O18" s="71" t="s">
        <v>999</v>
      </c>
      <c r="P18" s="71"/>
      <c r="Q18" s="71"/>
    </row>
    <row r="19" spans="1:17" s="5" customFormat="1" ht="21">
      <c r="A19" s="72"/>
      <c r="B19" s="87"/>
      <c r="C19" s="87"/>
      <c r="D19" s="87"/>
      <c r="E19" s="101"/>
      <c r="F19" s="179"/>
      <c r="G19" s="174"/>
      <c r="H19" s="106" t="s">
        <v>1010</v>
      </c>
      <c r="I19" s="92" t="s">
        <v>996</v>
      </c>
      <c r="J19" s="159"/>
      <c r="K19" s="92"/>
      <c r="L19" s="159"/>
      <c r="M19" s="92"/>
      <c r="N19" s="92"/>
      <c r="O19" s="71" t="s">
        <v>999</v>
      </c>
      <c r="P19" s="71"/>
      <c r="Q19" s="71"/>
    </row>
    <row r="20" spans="1:17" s="5" customFormat="1">
      <c r="A20" s="72"/>
      <c r="B20" s="72"/>
      <c r="C20" s="72"/>
      <c r="D20" s="72"/>
      <c r="E20" s="72"/>
      <c r="F20" s="179"/>
      <c r="G20" s="174"/>
      <c r="H20" s="106" t="s">
        <v>1011</v>
      </c>
      <c r="I20" s="92" t="s">
        <v>996</v>
      </c>
      <c r="J20" s="160"/>
      <c r="K20" s="92"/>
      <c r="L20" s="159"/>
      <c r="M20" s="92"/>
      <c r="N20" s="92"/>
      <c r="O20" s="71" t="s">
        <v>999</v>
      </c>
      <c r="P20" s="71"/>
      <c r="Q20" s="71"/>
    </row>
    <row r="21" spans="1:17" s="5" customFormat="1">
      <c r="A21" s="72"/>
      <c r="B21" s="72"/>
      <c r="C21" s="72"/>
      <c r="D21" s="72"/>
      <c r="E21" s="72"/>
      <c r="F21" s="179"/>
      <c r="G21" s="174"/>
      <c r="H21" s="106" t="s">
        <v>1016</v>
      </c>
      <c r="I21" s="107"/>
      <c r="J21" s="109"/>
      <c r="K21" s="92" t="s">
        <v>1013</v>
      </c>
      <c r="L21" s="159"/>
      <c r="M21" s="92"/>
      <c r="N21" s="92"/>
      <c r="O21" s="71" t="s">
        <v>1014</v>
      </c>
      <c r="P21" s="71"/>
      <c r="Q21" s="71"/>
    </row>
    <row r="22" spans="1:17" s="5" customFormat="1">
      <c r="A22" s="72"/>
      <c r="B22" s="72"/>
      <c r="C22" s="72"/>
      <c r="D22" s="72"/>
      <c r="E22" s="72"/>
      <c r="F22" s="179"/>
      <c r="G22" s="174"/>
      <c r="H22" s="106" t="s">
        <v>1012</v>
      </c>
      <c r="I22" s="107"/>
      <c r="J22" s="103"/>
      <c r="K22" s="92" t="s">
        <v>1013</v>
      </c>
      <c r="L22" s="159"/>
      <c r="M22" s="92"/>
      <c r="N22" s="92"/>
      <c r="O22" s="71" t="s">
        <v>1014</v>
      </c>
      <c r="P22" s="71"/>
      <c r="Q22" s="71"/>
    </row>
    <row r="23" spans="1:17" s="5" customFormat="1" ht="21">
      <c r="A23" s="72"/>
      <c r="B23" s="87"/>
      <c r="C23" s="87"/>
      <c r="D23" s="87"/>
      <c r="E23" s="101"/>
      <c r="F23" s="179"/>
      <c r="G23" s="174"/>
      <c r="H23" s="104" t="s">
        <v>1015</v>
      </c>
      <c r="I23" s="100"/>
      <c r="J23" s="103"/>
      <c r="K23" s="92" t="s">
        <v>1013</v>
      </c>
      <c r="L23" s="160"/>
      <c r="M23" s="92"/>
      <c r="N23" s="92"/>
      <c r="O23" s="71" t="s">
        <v>1014</v>
      </c>
      <c r="P23" s="71"/>
      <c r="Q23" s="71"/>
    </row>
    <row r="24" spans="1:17" s="5" customFormat="1" ht="21">
      <c r="A24" s="72"/>
      <c r="B24" s="87"/>
      <c r="C24" s="87"/>
      <c r="D24" s="87"/>
      <c r="E24" s="132"/>
      <c r="F24" s="152"/>
      <c r="G24" s="174"/>
      <c r="H24" s="104" t="s">
        <v>1017</v>
      </c>
      <c r="I24" s="92"/>
      <c r="J24" s="109"/>
      <c r="K24" s="92"/>
      <c r="L24" s="92" t="s">
        <v>1018</v>
      </c>
      <c r="M24" s="92"/>
      <c r="N24" s="92"/>
      <c r="O24" s="71" t="s">
        <v>1007</v>
      </c>
      <c r="P24" s="71"/>
      <c r="Q24" s="71"/>
    </row>
    <row r="25" spans="1:17" s="5" customFormat="1" ht="21">
      <c r="A25" s="72"/>
      <c r="B25" s="87"/>
      <c r="C25" s="87"/>
      <c r="D25" s="87"/>
      <c r="E25" s="101"/>
      <c r="F25" s="179"/>
      <c r="G25" s="174"/>
      <c r="H25" s="104" t="s">
        <v>1019</v>
      </c>
      <c r="I25" s="92"/>
      <c r="J25" s="109"/>
      <c r="K25" s="92"/>
      <c r="L25" s="92" t="s">
        <v>1018</v>
      </c>
      <c r="M25" s="92"/>
      <c r="N25" s="92"/>
      <c r="O25" s="71" t="s">
        <v>1007</v>
      </c>
      <c r="P25" s="71"/>
      <c r="Q25" s="71"/>
    </row>
    <row r="26" spans="1:17" s="5" customFormat="1" ht="21">
      <c r="A26" s="72"/>
      <c r="B26" s="87"/>
      <c r="C26" s="87"/>
      <c r="D26" s="87"/>
      <c r="E26" s="101"/>
      <c r="F26" s="179"/>
      <c r="G26" s="174"/>
      <c r="H26" s="104" t="s">
        <v>1020</v>
      </c>
      <c r="I26" s="112"/>
      <c r="J26" s="109"/>
      <c r="K26" s="92"/>
      <c r="L26" s="92" t="s">
        <v>1018</v>
      </c>
      <c r="M26" s="92"/>
      <c r="N26" s="92"/>
      <c r="O26" s="71" t="s">
        <v>1007</v>
      </c>
      <c r="P26" s="71"/>
      <c r="Q26" s="71"/>
    </row>
    <row r="27" spans="1:17" s="5" customFormat="1" ht="21">
      <c r="A27" s="72"/>
      <c r="B27" s="87"/>
      <c r="C27" s="87"/>
      <c r="D27" s="87"/>
      <c r="E27" s="101"/>
      <c r="F27" s="179"/>
      <c r="G27" s="110"/>
      <c r="H27" s="104" t="s">
        <v>1021</v>
      </c>
      <c r="I27" s="92"/>
      <c r="J27" s="109"/>
      <c r="K27" s="92"/>
      <c r="L27" s="92" t="s">
        <v>1018</v>
      </c>
      <c r="M27" s="92"/>
      <c r="N27" s="92"/>
      <c r="O27" s="71" t="s">
        <v>1007</v>
      </c>
      <c r="P27" s="71"/>
      <c r="Q27" s="71"/>
    </row>
    <row r="28" spans="1:17" s="5" customFormat="1" ht="21">
      <c r="A28" s="72"/>
      <c r="B28" s="87"/>
      <c r="C28" s="87"/>
      <c r="D28" s="87"/>
      <c r="E28" s="101"/>
      <c r="F28" s="164"/>
      <c r="G28" s="110"/>
      <c r="H28" s="104"/>
      <c r="I28" s="100"/>
      <c r="J28" s="109"/>
      <c r="K28" s="92"/>
      <c r="L28" s="92"/>
      <c r="M28" s="92" t="s">
        <v>994</v>
      </c>
      <c r="N28" s="92" t="s">
        <v>994</v>
      </c>
      <c r="O28" s="71"/>
      <c r="P28" s="71"/>
      <c r="Q28" s="71"/>
    </row>
    <row r="29" spans="1:17" s="5" customFormat="1" ht="21">
      <c r="A29" s="72"/>
      <c r="B29" s="87"/>
      <c r="C29" s="87"/>
      <c r="D29" s="87"/>
      <c r="E29" s="101"/>
      <c r="F29" s="163">
        <v>4</v>
      </c>
      <c r="G29" s="173" t="s">
        <v>922</v>
      </c>
      <c r="H29" s="158" t="s">
        <v>994</v>
      </c>
      <c r="I29" s="98" t="s">
        <v>574</v>
      </c>
      <c r="J29" s="92"/>
      <c r="K29" s="92"/>
      <c r="L29" s="91"/>
      <c r="M29" s="108"/>
      <c r="N29" s="92"/>
      <c r="O29" s="71"/>
      <c r="P29" s="71"/>
      <c r="Q29" s="71"/>
    </row>
    <row r="30" spans="1:17" s="5" customFormat="1" ht="21">
      <c r="A30" s="72"/>
      <c r="B30" s="87"/>
      <c r="C30" s="87"/>
      <c r="D30" s="87"/>
      <c r="E30" s="101"/>
      <c r="F30" s="179"/>
      <c r="G30" s="174"/>
      <c r="H30" s="159"/>
      <c r="I30" s="102"/>
      <c r="J30" s="92" t="s">
        <v>574</v>
      </c>
      <c r="K30" s="92"/>
      <c r="L30" s="111"/>
      <c r="M30" s="111"/>
      <c r="N30" s="92"/>
      <c r="O30" s="71"/>
      <c r="P30" s="71"/>
      <c r="Q30" s="71"/>
    </row>
    <row r="31" spans="1:17" s="5" customFormat="1" ht="21">
      <c r="A31" s="72"/>
      <c r="B31" s="87"/>
      <c r="C31" s="87"/>
      <c r="D31" s="87"/>
      <c r="E31" s="101"/>
      <c r="F31" s="179"/>
      <c r="G31" s="174"/>
      <c r="H31" s="159"/>
      <c r="I31" s="102"/>
      <c r="J31" s="92"/>
      <c r="K31" s="92" t="s">
        <v>994</v>
      </c>
      <c r="L31" s="111"/>
      <c r="M31" s="111"/>
      <c r="N31" s="92"/>
      <c r="O31" s="71"/>
      <c r="P31" s="71"/>
      <c r="Q31" s="71"/>
    </row>
    <row r="32" spans="1:17" s="5" customFormat="1" ht="21">
      <c r="A32" s="72"/>
      <c r="B32" s="87"/>
      <c r="C32" s="87"/>
      <c r="D32" s="87"/>
      <c r="E32" s="101"/>
      <c r="F32" s="179"/>
      <c r="G32" s="174"/>
      <c r="H32" s="159"/>
      <c r="I32" s="102"/>
      <c r="J32" s="92"/>
      <c r="K32" s="92"/>
      <c r="L32" s="111" t="s">
        <v>994</v>
      </c>
      <c r="M32" s="111"/>
      <c r="N32" s="92"/>
      <c r="O32" s="71"/>
      <c r="P32" s="71"/>
      <c r="Q32" s="71"/>
    </row>
    <row r="33" spans="1:17" s="5" customFormat="1" ht="21">
      <c r="A33" s="72"/>
      <c r="B33" s="87"/>
      <c r="C33" s="87"/>
      <c r="D33" s="87"/>
      <c r="E33" s="101"/>
      <c r="F33" s="179"/>
      <c r="G33" s="174"/>
      <c r="H33" s="159"/>
      <c r="I33" s="102"/>
      <c r="J33" s="92"/>
      <c r="K33" s="92"/>
      <c r="L33" s="111"/>
      <c r="M33" s="111" t="s">
        <v>994</v>
      </c>
      <c r="N33" s="92"/>
      <c r="O33" s="71"/>
      <c r="P33" s="71"/>
      <c r="Q33" s="71"/>
    </row>
    <row r="34" spans="1:17" ht="21">
      <c r="A34" s="72"/>
      <c r="B34" s="88"/>
      <c r="C34" s="87"/>
      <c r="D34" s="87"/>
      <c r="E34" s="101"/>
      <c r="F34" s="164"/>
      <c r="G34" s="175"/>
      <c r="H34" s="160"/>
      <c r="I34" s="102"/>
      <c r="J34" s="92"/>
      <c r="K34" s="92"/>
      <c r="L34" s="91"/>
      <c r="M34" s="91"/>
      <c r="N34" s="92" t="s">
        <v>574</v>
      </c>
      <c r="O34" s="71"/>
      <c r="P34" s="71"/>
      <c r="Q34" s="71"/>
    </row>
    <row r="35" spans="1:17" s="5" customFormat="1" ht="12.75" customHeight="1">
      <c r="A35" s="72"/>
      <c r="B35" s="88"/>
      <c r="C35" s="87"/>
      <c r="D35" s="87"/>
      <c r="E35" s="101"/>
      <c r="F35" s="151">
        <v>5</v>
      </c>
      <c r="G35" s="173" t="s">
        <v>652</v>
      </c>
      <c r="H35" s="177" t="s">
        <v>1006</v>
      </c>
      <c r="I35" s="158" t="s">
        <v>994</v>
      </c>
      <c r="J35" s="158" t="s">
        <v>994</v>
      </c>
      <c r="K35" s="158" t="s">
        <v>994</v>
      </c>
      <c r="L35" s="158" t="s">
        <v>1008</v>
      </c>
      <c r="M35" s="158" t="s">
        <v>994</v>
      </c>
      <c r="N35" s="158" t="s">
        <v>994</v>
      </c>
      <c r="O35" s="158" t="s">
        <v>1007</v>
      </c>
      <c r="P35" s="71"/>
      <c r="Q35" s="71"/>
    </row>
    <row r="36" spans="1:17" s="5" customFormat="1" ht="9" customHeight="1">
      <c r="A36" s="72"/>
      <c r="B36" s="88"/>
      <c r="C36" s="87"/>
      <c r="D36" s="87"/>
      <c r="F36" s="153"/>
      <c r="G36" s="175"/>
      <c r="H36" s="178"/>
      <c r="I36" s="160"/>
      <c r="J36" s="160"/>
      <c r="K36" s="160"/>
      <c r="L36" s="160"/>
      <c r="M36" s="160"/>
      <c r="N36" s="160"/>
      <c r="O36" s="160"/>
      <c r="P36" s="71"/>
      <c r="Q36" s="71"/>
    </row>
    <row r="37" spans="1:17" s="5" customFormat="1" ht="15.75" customHeight="1">
      <c r="A37" s="72"/>
      <c r="B37" s="88"/>
      <c r="C37" s="87"/>
      <c r="D37" s="87"/>
      <c r="F37" s="151">
        <v>6</v>
      </c>
      <c r="G37" s="149" t="s">
        <v>94</v>
      </c>
      <c r="H37" s="117" t="s">
        <v>1022</v>
      </c>
      <c r="I37" s="92" t="s">
        <v>996</v>
      </c>
      <c r="J37" s="113"/>
      <c r="K37" s="113"/>
      <c r="L37" s="113"/>
      <c r="M37" s="113"/>
      <c r="N37" s="113"/>
      <c r="O37" s="71" t="s">
        <v>999</v>
      </c>
      <c r="P37" s="71"/>
      <c r="Q37" s="71"/>
    </row>
    <row r="38" spans="1:17" s="5" customFormat="1" ht="15.75" customHeight="1">
      <c r="A38" s="72"/>
      <c r="B38" s="88"/>
      <c r="C38" s="87"/>
      <c r="D38" s="87"/>
      <c r="F38" s="152"/>
      <c r="G38" s="150"/>
      <c r="H38" s="117" t="s">
        <v>1023</v>
      </c>
      <c r="I38" s="92" t="s">
        <v>996</v>
      </c>
      <c r="J38" s="113"/>
      <c r="K38" s="113"/>
      <c r="L38" s="113"/>
      <c r="M38" s="113"/>
      <c r="N38" s="113"/>
      <c r="O38" s="71" t="s">
        <v>999</v>
      </c>
      <c r="P38" s="71"/>
      <c r="Q38" s="71"/>
    </row>
    <row r="39" spans="1:17" s="5" customFormat="1" ht="15.75" customHeight="1">
      <c r="A39" s="72"/>
      <c r="B39" s="88"/>
      <c r="C39" s="87"/>
      <c r="D39" s="87"/>
      <c r="F39" s="152"/>
      <c r="G39" s="150"/>
      <c r="H39" s="117" t="s">
        <v>998</v>
      </c>
      <c r="I39" s="92" t="s">
        <v>996</v>
      </c>
      <c r="J39" s="113"/>
      <c r="K39" s="113"/>
      <c r="L39" s="113"/>
      <c r="M39" s="113"/>
      <c r="N39" s="113"/>
      <c r="O39" s="71" t="s">
        <v>999</v>
      </c>
      <c r="P39" s="71"/>
      <c r="Q39" s="71"/>
    </row>
    <row r="40" spans="1:17" s="5" customFormat="1" ht="15.75" customHeight="1">
      <c r="A40" s="72"/>
      <c r="B40" s="88"/>
      <c r="C40" s="87"/>
      <c r="D40" s="87"/>
      <c r="F40" s="152"/>
      <c r="G40" s="150"/>
      <c r="H40" s="118" t="s">
        <v>1024</v>
      </c>
      <c r="J40" s="113"/>
      <c r="K40" s="113"/>
      <c r="L40" s="92" t="s">
        <v>1018</v>
      </c>
      <c r="M40" s="113"/>
      <c r="N40" s="113"/>
      <c r="O40" s="71"/>
      <c r="P40" s="71"/>
      <c r="Q40" s="71"/>
    </row>
    <row r="41" spans="1:17" s="5" customFormat="1" ht="15.75" customHeight="1">
      <c r="A41" s="72"/>
      <c r="B41" s="88"/>
      <c r="C41" s="87"/>
      <c r="D41" s="87"/>
      <c r="F41" s="152"/>
      <c r="G41" s="150"/>
      <c r="H41" s="118" t="s">
        <v>1026</v>
      </c>
      <c r="I41" s="71"/>
      <c r="J41" s="113"/>
      <c r="K41" s="113"/>
      <c r="L41" s="92" t="s">
        <v>1018</v>
      </c>
      <c r="M41" s="113"/>
      <c r="N41" s="113"/>
      <c r="O41" s="71"/>
      <c r="P41" s="71"/>
      <c r="Q41" s="71"/>
    </row>
    <row r="42" spans="1:17" s="5" customFormat="1" ht="15.75" customHeight="1">
      <c r="A42" s="72"/>
      <c r="B42" s="88"/>
      <c r="C42" s="87"/>
      <c r="D42" s="87"/>
      <c r="F42" s="152"/>
      <c r="G42" s="150"/>
      <c r="H42" s="118" t="s">
        <v>1025</v>
      </c>
      <c r="J42" s="113"/>
      <c r="K42" s="113"/>
      <c r="L42" s="92" t="s">
        <v>1018</v>
      </c>
      <c r="M42" s="113"/>
      <c r="N42" s="113"/>
      <c r="O42" s="71"/>
      <c r="P42" s="71"/>
      <c r="Q42" s="71"/>
    </row>
    <row r="43" spans="1:17" s="5" customFormat="1" ht="15.75" customHeight="1">
      <c r="A43" s="72"/>
      <c r="B43" s="88"/>
      <c r="C43" s="87"/>
      <c r="D43" s="87"/>
      <c r="F43" s="152"/>
      <c r="G43" s="150"/>
      <c r="H43" s="117" t="s">
        <v>1027</v>
      </c>
      <c r="I43" s="92" t="s">
        <v>996</v>
      </c>
      <c r="J43" s="113"/>
      <c r="K43" s="113"/>
      <c r="L43" s="113"/>
      <c r="M43" s="113"/>
      <c r="N43" s="113"/>
      <c r="O43" s="71"/>
      <c r="P43" s="71"/>
      <c r="Q43" s="71"/>
    </row>
    <row r="44" spans="1:17" s="5" customFormat="1" ht="15.75" customHeight="1">
      <c r="A44" s="72"/>
      <c r="B44" s="88"/>
      <c r="C44" s="87"/>
      <c r="D44" s="87"/>
      <c r="F44" s="152"/>
      <c r="G44" s="150"/>
      <c r="H44" s="117" t="s">
        <v>1028</v>
      </c>
      <c r="I44" s="92" t="s">
        <v>996</v>
      </c>
      <c r="J44" s="113"/>
      <c r="K44" s="113"/>
      <c r="L44" s="113"/>
      <c r="M44" s="113"/>
      <c r="N44" s="113"/>
      <c r="O44" s="71"/>
      <c r="P44" s="71"/>
      <c r="Q44" s="71"/>
    </row>
    <row r="45" spans="1:17" s="5" customFormat="1" ht="15.75" customHeight="1">
      <c r="A45" s="72"/>
      <c r="B45" s="88"/>
      <c r="C45" s="87"/>
      <c r="D45" s="87"/>
      <c r="F45" s="152"/>
      <c r="G45" s="150"/>
      <c r="H45" s="117" t="s">
        <v>1029</v>
      </c>
      <c r="I45" s="92" t="s">
        <v>996</v>
      </c>
      <c r="J45" s="113"/>
      <c r="K45" s="113"/>
      <c r="L45" s="113"/>
      <c r="M45" s="113"/>
      <c r="N45" s="113"/>
      <c r="O45" s="71"/>
      <c r="P45" s="71"/>
      <c r="Q45" s="71"/>
    </row>
    <row r="46" spans="1:17" s="5" customFormat="1" ht="15.75" customHeight="1">
      <c r="A46" s="72"/>
      <c r="B46" s="88"/>
      <c r="C46" s="87"/>
      <c r="D46" s="87"/>
      <c r="F46" s="152"/>
      <c r="G46" s="150"/>
      <c r="H46" s="118" t="s">
        <v>1006</v>
      </c>
      <c r="J46" s="113"/>
      <c r="K46" s="113"/>
      <c r="L46" s="92" t="s">
        <v>1030</v>
      </c>
      <c r="M46" s="113"/>
      <c r="N46" s="113"/>
      <c r="O46" s="71"/>
      <c r="P46" s="71"/>
      <c r="Q46" s="71"/>
    </row>
    <row r="47" spans="1:17" s="5" customFormat="1">
      <c r="A47" s="72"/>
      <c r="B47" s="88"/>
      <c r="C47" s="87"/>
      <c r="D47" s="87"/>
      <c r="F47" s="152"/>
      <c r="G47" s="150"/>
      <c r="H47" s="119" t="s">
        <v>998</v>
      </c>
      <c r="I47" s="92" t="s">
        <v>996</v>
      </c>
      <c r="J47" s="92"/>
      <c r="K47" s="92"/>
      <c r="L47" s="92" t="s">
        <v>988</v>
      </c>
      <c r="M47" s="91"/>
      <c r="N47" s="92"/>
      <c r="O47" s="71" t="s">
        <v>999</v>
      </c>
      <c r="P47" s="71"/>
      <c r="Q47" s="71"/>
    </row>
    <row r="48" spans="1:17" s="5" customFormat="1">
      <c r="A48" s="72"/>
      <c r="B48" s="88"/>
      <c r="C48" s="87"/>
      <c r="D48" s="87"/>
      <c r="F48" s="152"/>
      <c r="G48" s="150"/>
      <c r="H48" s="119" t="s">
        <v>1004</v>
      </c>
      <c r="I48" s="92" t="s">
        <v>996</v>
      </c>
      <c r="J48" s="92"/>
      <c r="K48" s="92"/>
      <c r="L48" s="92" t="s">
        <v>988</v>
      </c>
      <c r="M48" s="91"/>
      <c r="N48" s="92"/>
      <c r="O48" s="71" t="s">
        <v>999</v>
      </c>
      <c r="P48" s="71"/>
      <c r="Q48" s="71"/>
    </row>
    <row r="49" spans="1:17" s="5" customFormat="1">
      <c r="A49" s="72"/>
      <c r="B49" s="88"/>
      <c r="C49" s="87"/>
      <c r="D49" s="87"/>
      <c r="F49" s="152"/>
      <c r="G49" s="150"/>
      <c r="H49" s="120" t="s">
        <v>997</v>
      </c>
      <c r="I49" s="92" t="s">
        <v>996</v>
      </c>
      <c r="J49" s="92"/>
      <c r="K49" s="92"/>
      <c r="L49" s="92"/>
      <c r="M49" s="91"/>
      <c r="N49" s="92"/>
      <c r="O49" s="71" t="s">
        <v>999</v>
      </c>
      <c r="P49" s="71"/>
      <c r="Q49" s="71"/>
    </row>
    <row r="50" spans="1:17" s="5" customFormat="1">
      <c r="A50" s="72"/>
      <c r="B50" s="88"/>
      <c r="C50" s="87"/>
      <c r="D50" s="87"/>
      <c r="F50" s="152"/>
      <c r="G50" s="150"/>
      <c r="H50" s="120" t="s">
        <v>998</v>
      </c>
      <c r="I50" s="92" t="s">
        <v>996</v>
      </c>
      <c r="J50" s="92"/>
      <c r="K50" s="92"/>
      <c r="L50" s="92"/>
      <c r="M50" s="91"/>
      <c r="N50" s="92"/>
      <c r="O50" s="71" t="s">
        <v>999</v>
      </c>
      <c r="P50" s="71"/>
      <c r="Q50" s="71"/>
    </row>
    <row r="51" spans="1:17" s="5" customFormat="1">
      <c r="A51" s="72"/>
      <c r="B51" s="88"/>
      <c r="C51" s="87"/>
      <c r="D51" s="87"/>
      <c r="F51" s="152"/>
      <c r="G51" s="150"/>
      <c r="H51" s="121" t="s">
        <v>1002</v>
      </c>
      <c r="I51" s="92"/>
      <c r="J51" s="92" t="s">
        <v>1000</v>
      </c>
      <c r="K51" s="92"/>
      <c r="L51" s="92"/>
      <c r="M51" s="91"/>
      <c r="N51" s="92"/>
      <c r="O51" s="71" t="s">
        <v>1001</v>
      </c>
      <c r="P51" s="71"/>
      <c r="Q51" s="71"/>
    </row>
    <row r="52" spans="1:17" s="5" customFormat="1">
      <c r="A52" s="72"/>
      <c r="B52" s="88"/>
      <c r="C52" s="87"/>
      <c r="D52" s="87"/>
      <c r="F52" s="152"/>
      <c r="G52" s="150"/>
      <c r="H52" s="121" t="s">
        <v>1003</v>
      </c>
      <c r="I52" s="92"/>
      <c r="J52" s="92" t="s">
        <v>1000</v>
      </c>
      <c r="K52" s="92"/>
      <c r="L52" s="92"/>
      <c r="M52" s="91"/>
      <c r="N52" s="92"/>
      <c r="O52" s="71" t="s">
        <v>1001</v>
      </c>
      <c r="P52" s="71"/>
      <c r="Q52" s="71"/>
    </row>
    <row r="53" spans="1:17" s="5" customFormat="1">
      <c r="A53" s="72"/>
      <c r="B53" s="88"/>
      <c r="C53" s="87"/>
      <c r="D53" s="87"/>
      <c r="F53" s="152"/>
      <c r="G53" s="150"/>
      <c r="H53" s="121" t="s">
        <v>1031</v>
      </c>
      <c r="I53" s="92"/>
      <c r="J53" s="92" t="s">
        <v>1033</v>
      </c>
      <c r="L53" s="92"/>
      <c r="M53" s="91"/>
      <c r="N53" s="92"/>
      <c r="O53" s="71" t="s">
        <v>1032</v>
      </c>
      <c r="P53" s="71"/>
      <c r="Q53" s="71"/>
    </row>
    <row r="54" spans="1:17" s="5" customFormat="1">
      <c r="A54" s="72"/>
      <c r="B54" s="88"/>
      <c r="C54" s="87"/>
      <c r="D54" s="87"/>
      <c r="F54" s="152"/>
      <c r="G54" s="150"/>
      <c r="H54" s="121" t="s">
        <v>1031</v>
      </c>
      <c r="I54" s="92"/>
      <c r="J54" s="92" t="s">
        <v>1033</v>
      </c>
      <c r="K54" s="92"/>
      <c r="L54" s="92"/>
      <c r="M54" s="91"/>
      <c r="N54" s="92"/>
      <c r="O54" s="71"/>
      <c r="P54" s="71"/>
      <c r="Q54" s="71"/>
    </row>
    <row r="55" spans="1:17" s="5" customFormat="1">
      <c r="A55" s="72"/>
      <c r="B55" s="88"/>
      <c r="C55" s="87"/>
      <c r="D55" s="87"/>
      <c r="F55" s="152"/>
      <c r="G55" s="150"/>
      <c r="H55" s="121" t="s">
        <v>1034</v>
      </c>
      <c r="I55" s="92"/>
      <c r="J55" s="92"/>
      <c r="K55" s="92" t="s">
        <v>1035</v>
      </c>
      <c r="L55" s="92"/>
      <c r="M55" s="114"/>
      <c r="N55" s="92"/>
      <c r="O55" s="71" t="s">
        <v>1036</v>
      </c>
      <c r="P55" s="71"/>
      <c r="Q55" s="71"/>
    </row>
    <row r="56" spans="1:17" s="5" customFormat="1">
      <c r="A56" s="72"/>
      <c r="B56" s="88"/>
      <c r="C56" s="87"/>
      <c r="D56" s="87"/>
      <c r="F56" s="152"/>
      <c r="G56" s="150"/>
      <c r="H56" s="121" t="s">
        <v>1037</v>
      </c>
      <c r="I56" s="92"/>
      <c r="J56" s="92"/>
      <c r="K56" s="92" t="s">
        <v>1035</v>
      </c>
      <c r="L56" s="92"/>
      <c r="M56" s="114"/>
      <c r="N56" s="92"/>
      <c r="O56" s="71" t="s">
        <v>1014</v>
      </c>
      <c r="P56" s="71"/>
      <c r="Q56" s="71"/>
    </row>
    <row r="57" spans="1:17" s="5" customFormat="1">
      <c r="A57" s="72"/>
      <c r="B57" s="88"/>
      <c r="C57" s="87"/>
      <c r="D57" s="87"/>
      <c r="F57" s="152"/>
      <c r="G57" s="150"/>
      <c r="H57" s="121" t="s">
        <v>1038</v>
      </c>
      <c r="I57" s="92"/>
      <c r="J57" s="92"/>
      <c r="K57" s="92"/>
      <c r="L57" s="92" t="s">
        <v>1040</v>
      </c>
      <c r="M57" s="114"/>
      <c r="N57" s="92"/>
      <c r="O57" s="71" t="s">
        <v>1039</v>
      </c>
      <c r="P57" s="71"/>
      <c r="Q57" s="71"/>
    </row>
    <row r="58" spans="1:17" s="5" customFormat="1">
      <c r="A58" s="72"/>
      <c r="B58" s="88"/>
      <c r="C58" s="87"/>
      <c r="D58" s="87"/>
      <c r="F58" s="152"/>
      <c r="G58" s="150"/>
      <c r="H58" s="121" t="s">
        <v>995</v>
      </c>
      <c r="I58" s="92"/>
      <c r="J58" s="92"/>
      <c r="K58" s="92"/>
      <c r="L58" s="92" t="s">
        <v>1040</v>
      </c>
      <c r="M58" s="114"/>
      <c r="N58" s="92"/>
      <c r="O58" s="71" t="s">
        <v>1007</v>
      </c>
      <c r="P58" s="71"/>
      <c r="Q58" s="71"/>
    </row>
    <row r="59" spans="1:17" s="5" customFormat="1">
      <c r="A59" s="72"/>
      <c r="B59" s="88"/>
      <c r="C59" s="87"/>
      <c r="D59" s="87"/>
      <c r="F59" s="152"/>
      <c r="G59" s="150"/>
      <c r="H59" s="121" t="s">
        <v>1006</v>
      </c>
      <c r="I59" s="92"/>
      <c r="J59" s="92"/>
      <c r="K59" s="92"/>
      <c r="L59" s="92" t="s">
        <v>1040</v>
      </c>
      <c r="M59" s="114"/>
      <c r="N59" s="92"/>
      <c r="O59" s="71"/>
      <c r="P59" s="71"/>
      <c r="Q59" s="71"/>
    </row>
    <row r="60" spans="1:17" s="5" customFormat="1">
      <c r="A60" s="72"/>
      <c r="B60" s="88"/>
      <c r="C60" s="87"/>
      <c r="D60" s="87"/>
      <c r="F60" s="152"/>
      <c r="G60" s="150"/>
      <c r="H60" s="121" t="s">
        <v>1041</v>
      </c>
      <c r="I60" s="92"/>
      <c r="J60" s="92"/>
      <c r="K60" s="92"/>
      <c r="L60" s="92" t="s">
        <v>1042</v>
      </c>
      <c r="M60" s="116"/>
      <c r="N60" s="92"/>
      <c r="O60" s="71"/>
      <c r="P60" s="71"/>
      <c r="Q60" s="71"/>
    </row>
    <row r="61" spans="1:17" s="5" customFormat="1">
      <c r="A61" s="72"/>
      <c r="B61" s="88"/>
      <c r="C61" s="87"/>
      <c r="D61" s="87"/>
      <c r="F61" s="152"/>
      <c r="G61" s="150"/>
      <c r="H61" s="121" t="s">
        <v>1021</v>
      </c>
      <c r="I61" s="92"/>
      <c r="J61" s="92"/>
      <c r="K61" s="92"/>
      <c r="L61" s="92" t="s">
        <v>1042</v>
      </c>
      <c r="M61" s="116"/>
      <c r="N61" s="92"/>
      <c r="O61" s="71"/>
      <c r="P61" s="71"/>
      <c r="Q61" s="71"/>
    </row>
    <row r="62" spans="1:17" s="5" customFormat="1">
      <c r="A62" s="72"/>
      <c r="B62" s="88"/>
      <c r="C62" s="87"/>
      <c r="D62" s="87"/>
      <c r="F62" s="152"/>
      <c r="G62" s="150"/>
      <c r="H62" s="121"/>
      <c r="I62" s="92"/>
      <c r="J62" s="92"/>
      <c r="K62" s="92"/>
      <c r="L62" s="92"/>
      <c r="M62" s="116" t="s">
        <v>994</v>
      </c>
      <c r="N62" s="92"/>
      <c r="O62" s="71"/>
      <c r="P62" s="71"/>
      <c r="Q62" s="71"/>
    </row>
    <row r="63" spans="1:17" s="5" customFormat="1">
      <c r="A63" s="72"/>
      <c r="B63" s="88"/>
      <c r="C63" s="87"/>
      <c r="D63" s="87"/>
      <c r="F63" s="152"/>
      <c r="G63" s="150"/>
      <c r="H63" s="121" t="s">
        <v>1043</v>
      </c>
      <c r="I63" s="92"/>
      <c r="J63" s="92"/>
      <c r="K63" s="92"/>
      <c r="L63" s="92"/>
      <c r="M63" s="92" t="s">
        <v>1045</v>
      </c>
      <c r="N63" s="92"/>
      <c r="O63" s="71"/>
      <c r="P63" s="71"/>
      <c r="Q63" s="71"/>
    </row>
    <row r="64" spans="1:17" s="5" customFormat="1">
      <c r="A64" s="72"/>
      <c r="B64" s="88"/>
      <c r="C64" s="87"/>
      <c r="D64" s="87"/>
      <c r="F64" s="153"/>
      <c r="G64" s="150"/>
      <c r="H64" s="121" t="s">
        <v>1044</v>
      </c>
      <c r="I64" s="92"/>
      <c r="J64" s="92"/>
      <c r="K64" s="92"/>
      <c r="L64" s="92"/>
      <c r="M64" s="92" t="s">
        <v>1045</v>
      </c>
      <c r="N64" s="92"/>
      <c r="O64" s="71"/>
      <c r="P64" s="71"/>
      <c r="Q64" s="71"/>
    </row>
    <row r="65" spans="1:17" s="5" customFormat="1">
      <c r="A65" s="72"/>
      <c r="B65" s="139"/>
      <c r="C65" s="87"/>
      <c r="D65" s="87"/>
      <c r="F65" s="137"/>
      <c r="G65" s="150"/>
      <c r="H65" s="121" t="s">
        <v>1076</v>
      </c>
      <c r="I65" s="92"/>
      <c r="J65" s="92"/>
      <c r="K65" s="92"/>
      <c r="L65" s="100"/>
      <c r="M65" s="92"/>
      <c r="N65" s="92" t="s">
        <v>1077</v>
      </c>
      <c r="O65" s="71" t="s">
        <v>1078</v>
      </c>
      <c r="P65" s="71"/>
      <c r="Q65" s="71"/>
    </row>
    <row r="66" spans="1:17" s="5" customFormat="1">
      <c r="A66" s="72"/>
      <c r="B66" s="139"/>
      <c r="C66" s="87"/>
      <c r="D66" s="87"/>
      <c r="F66" s="137"/>
      <c r="G66" s="150"/>
      <c r="H66" s="121" t="s">
        <v>1044</v>
      </c>
      <c r="I66" s="92"/>
      <c r="J66" s="92"/>
      <c r="K66" s="92"/>
      <c r="L66" s="92"/>
      <c r="M66" s="92"/>
      <c r="N66" s="92" t="s">
        <v>1077</v>
      </c>
      <c r="O66" s="71" t="s">
        <v>1078</v>
      </c>
      <c r="P66" s="71"/>
      <c r="Q66" s="71"/>
    </row>
    <row r="67" spans="1:17" s="5" customFormat="1">
      <c r="A67" s="72"/>
      <c r="B67" s="139"/>
      <c r="C67" s="87"/>
      <c r="D67" s="87"/>
      <c r="F67" s="137"/>
      <c r="G67" s="140"/>
      <c r="H67" s="121"/>
      <c r="I67" s="92"/>
      <c r="J67" s="92"/>
      <c r="K67" s="92"/>
      <c r="L67" s="92"/>
      <c r="M67" s="92"/>
      <c r="N67" s="92"/>
      <c r="O67" s="71"/>
      <c r="P67" s="71"/>
      <c r="Q67" s="71"/>
    </row>
    <row r="68" spans="1:17" s="5" customFormat="1">
      <c r="A68" s="72"/>
      <c r="B68" s="139"/>
      <c r="C68" s="87"/>
      <c r="D68" s="87"/>
      <c r="F68" s="137"/>
      <c r="G68" s="140"/>
      <c r="H68" s="121"/>
      <c r="I68" s="92"/>
      <c r="J68" s="92"/>
      <c r="K68" s="92"/>
      <c r="L68" s="92"/>
      <c r="M68" s="92"/>
      <c r="N68" s="92"/>
      <c r="O68" s="71"/>
      <c r="P68" s="71"/>
      <c r="Q68" s="71"/>
    </row>
    <row r="69" spans="1:17" s="5" customFormat="1">
      <c r="A69" s="72"/>
      <c r="B69" s="139"/>
      <c r="C69" s="87"/>
      <c r="D69" s="87"/>
      <c r="F69" s="137"/>
      <c r="G69" s="140"/>
      <c r="H69" s="121"/>
      <c r="I69" s="92"/>
      <c r="J69" s="92"/>
      <c r="K69" s="92"/>
      <c r="L69" s="92"/>
      <c r="M69" s="92"/>
      <c r="N69" s="92"/>
      <c r="O69" s="71"/>
      <c r="P69" s="71"/>
      <c r="Q69" s="71"/>
    </row>
    <row r="70" spans="1:17" s="5" customFormat="1">
      <c r="A70" s="72"/>
      <c r="B70" s="88"/>
      <c r="C70" s="87"/>
      <c r="D70" s="87"/>
      <c r="F70" s="151">
        <v>7</v>
      </c>
      <c r="G70" s="173" t="s">
        <v>302</v>
      </c>
      <c r="H70" s="120"/>
      <c r="I70" s="92" t="s">
        <v>994</v>
      </c>
      <c r="J70" s="92" t="s">
        <v>994</v>
      </c>
      <c r="K70" s="92" t="s">
        <v>994</v>
      </c>
      <c r="M70" s="91"/>
      <c r="N70" s="92"/>
      <c r="O70" s="71"/>
      <c r="P70" s="71"/>
      <c r="Q70" s="71"/>
    </row>
    <row r="71" spans="1:17" s="5" customFormat="1">
      <c r="A71" s="72"/>
      <c r="B71" s="88"/>
      <c r="C71" s="87"/>
      <c r="D71" s="87"/>
      <c r="F71" s="152"/>
      <c r="G71" s="174"/>
      <c r="H71" s="120" t="s">
        <v>1056</v>
      </c>
      <c r="I71" s="129"/>
      <c r="J71" s="129"/>
      <c r="K71" s="129"/>
      <c r="L71" s="128" t="s">
        <v>1054</v>
      </c>
      <c r="M71" s="98"/>
      <c r="N71" s="129"/>
      <c r="O71" s="71" t="s">
        <v>1007</v>
      </c>
      <c r="P71" s="71"/>
      <c r="Q71" s="71"/>
    </row>
    <row r="72" spans="1:17" s="5" customFormat="1">
      <c r="A72" s="72"/>
      <c r="B72" s="88"/>
      <c r="C72" s="87"/>
      <c r="D72" s="87"/>
      <c r="F72" s="152"/>
      <c r="G72" s="174"/>
      <c r="H72" s="120" t="s">
        <v>1057</v>
      </c>
      <c r="I72" s="129"/>
      <c r="J72" s="129"/>
      <c r="K72" s="129"/>
      <c r="L72" s="128" t="s">
        <v>1054</v>
      </c>
      <c r="M72" s="98"/>
      <c r="N72" s="129"/>
      <c r="O72" s="71" t="s">
        <v>1007</v>
      </c>
      <c r="P72" s="71"/>
      <c r="Q72" s="71"/>
    </row>
    <row r="73" spans="1:17" s="5" customFormat="1">
      <c r="A73" s="72"/>
      <c r="B73" s="88"/>
      <c r="C73" s="87"/>
      <c r="D73" s="87"/>
      <c r="F73" s="152"/>
      <c r="G73" s="174"/>
      <c r="H73" s="120" t="s">
        <v>1058</v>
      </c>
      <c r="I73" s="129"/>
      <c r="J73" s="129"/>
      <c r="K73" s="129"/>
      <c r="L73" s="128" t="s">
        <v>1054</v>
      </c>
      <c r="M73" s="98"/>
      <c r="N73" s="129"/>
      <c r="O73" s="71" t="s">
        <v>1007</v>
      </c>
      <c r="P73" s="71"/>
      <c r="Q73" s="71"/>
    </row>
    <row r="74" spans="1:17" s="5" customFormat="1">
      <c r="A74" s="72"/>
      <c r="B74" s="88"/>
      <c r="C74" s="87"/>
      <c r="D74" s="87"/>
      <c r="F74" s="152"/>
      <c r="G74" s="174"/>
      <c r="H74" s="120" t="s">
        <v>1059</v>
      </c>
      <c r="I74" s="129"/>
      <c r="J74" s="129"/>
      <c r="K74" s="129"/>
      <c r="L74" s="128" t="s">
        <v>1054</v>
      </c>
      <c r="M74" s="98"/>
      <c r="N74" s="129"/>
      <c r="O74" s="71" t="s">
        <v>1007</v>
      </c>
      <c r="P74" s="71"/>
      <c r="Q74" s="71"/>
    </row>
    <row r="75" spans="1:17" s="5" customFormat="1">
      <c r="A75" s="72"/>
      <c r="B75" s="88"/>
      <c r="C75" s="87"/>
      <c r="D75" s="87"/>
      <c r="F75" s="152"/>
      <c r="G75" s="174"/>
      <c r="H75" s="120" t="s">
        <v>1060</v>
      </c>
      <c r="I75" s="129"/>
      <c r="J75" s="129"/>
      <c r="K75" s="129"/>
      <c r="L75" s="128" t="s">
        <v>1055</v>
      </c>
      <c r="M75" s="98"/>
      <c r="N75" s="129"/>
      <c r="O75" s="71" t="s">
        <v>1007</v>
      </c>
      <c r="P75" s="71"/>
      <c r="Q75" s="71"/>
    </row>
    <row r="76" spans="1:17" s="5" customFormat="1">
      <c r="A76" s="72"/>
      <c r="B76" s="88"/>
      <c r="C76" s="87"/>
      <c r="D76" s="87"/>
      <c r="F76" s="152"/>
      <c r="G76" s="174"/>
      <c r="H76" s="104" t="s">
        <v>1047</v>
      </c>
      <c r="I76" s="92"/>
      <c r="J76" s="92"/>
      <c r="K76" s="92"/>
      <c r="L76" s="92" t="s">
        <v>1046</v>
      </c>
      <c r="M76" s="124"/>
      <c r="N76" s="92"/>
      <c r="O76" s="71" t="s">
        <v>1007</v>
      </c>
      <c r="P76" s="71"/>
      <c r="Q76" s="71"/>
    </row>
    <row r="77" spans="1:17" s="5" customFormat="1">
      <c r="A77" s="72"/>
      <c r="B77" s="88"/>
      <c r="C77" s="87"/>
      <c r="D77" s="87"/>
      <c r="F77" s="152"/>
      <c r="G77" s="174"/>
      <c r="H77" s="104" t="s">
        <v>1038</v>
      </c>
      <c r="I77" s="92"/>
      <c r="J77" s="92"/>
      <c r="K77" s="92"/>
      <c r="L77" s="92" t="s">
        <v>1046</v>
      </c>
      <c r="M77" s="124"/>
      <c r="N77" s="92"/>
      <c r="O77" s="71" t="s">
        <v>1007</v>
      </c>
      <c r="P77" s="71"/>
      <c r="Q77" s="71"/>
    </row>
    <row r="78" spans="1:17" s="5" customFormat="1">
      <c r="A78" s="72"/>
      <c r="B78" s="88"/>
      <c r="C78" s="87"/>
      <c r="D78" s="87"/>
      <c r="F78" s="152"/>
      <c r="G78" s="174"/>
      <c r="H78" s="104" t="s">
        <v>1006</v>
      </c>
      <c r="I78" s="92"/>
      <c r="J78" s="92"/>
      <c r="K78" s="92"/>
      <c r="L78" s="92" t="s">
        <v>1046</v>
      </c>
      <c r="M78" s="124"/>
      <c r="N78" s="92"/>
      <c r="O78" s="71" t="s">
        <v>1007</v>
      </c>
      <c r="P78" s="71"/>
      <c r="Q78" s="71"/>
    </row>
    <row r="79" spans="1:17" ht="21">
      <c r="A79" s="72"/>
      <c r="B79" s="72"/>
      <c r="C79" s="72"/>
      <c r="D79" s="72"/>
      <c r="E79" s="132"/>
      <c r="F79" s="152"/>
      <c r="G79" s="174"/>
      <c r="H79" s="104" t="s">
        <v>1048</v>
      </c>
      <c r="I79" s="92"/>
      <c r="J79" s="92"/>
      <c r="K79" s="92"/>
      <c r="L79" s="92" t="s">
        <v>1046</v>
      </c>
      <c r="M79" s="71"/>
      <c r="N79" s="92"/>
      <c r="O79" s="71" t="s">
        <v>1007</v>
      </c>
      <c r="P79" s="71"/>
      <c r="Q79" s="71"/>
    </row>
    <row r="80" spans="1:17" s="5" customFormat="1" ht="21">
      <c r="A80" s="72"/>
      <c r="B80" s="87"/>
      <c r="C80" s="87"/>
      <c r="D80" s="87"/>
      <c r="E80" s="101"/>
      <c r="F80" s="152"/>
      <c r="G80" s="174"/>
      <c r="H80" s="104" t="s">
        <v>1020</v>
      </c>
      <c r="I80" s="92"/>
      <c r="J80" s="92"/>
      <c r="K80" s="92"/>
      <c r="L80" s="92" t="s">
        <v>1046</v>
      </c>
      <c r="M80" s="71"/>
      <c r="N80" s="92"/>
      <c r="O80" s="71" t="s">
        <v>1007</v>
      </c>
      <c r="P80" s="71"/>
      <c r="Q80" s="71"/>
    </row>
    <row r="81" spans="1:17" s="5" customFormat="1" ht="21">
      <c r="A81" s="72"/>
      <c r="B81" s="87"/>
      <c r="C81" s="87"/>
      <c r="D81" s="87"/>
      <c r="E81" s="101"/>
      <c r="F81" s="152"/>
      <c r="G81" s="174"/>
      <c r="H81" s="104" t="s">
        <v>1041</v>
      </c>
      <c r="I81" s="92"/>
      <c r="J81" s="92"/>
      <c r="K81" s="92"/>
      <c r="L81" s="92" t="s">
        <v>1046</v>
      </c>
      <c r="M81" s="71"/>
      <c r="N81" s="92"/>
      <c r="O81" s="71" t="s">
        <v>1007</v>
      </c>
      <c r="P81" s="71"/>
      <c r="Q81" s="71"/>
    </row>
    <row r="82" spans="1:17" s="5" customFormat="1" ht="21">
      <c r="A82" s="72"/>
      <c r="B82" s="87"/>
      <c r="C82" s="87"/>
      <c r="D82" s="87"/>
      <c r="E82" s="101"/>
      <c r="F82" s="152"/>
      <c r="G82" s="174"/>
      <c r="H82" s="104" t="s">
        <v>1049</v>
      </c>
      <c r="I82" s="92"/>
      <c r="J82" s="92"/>
      <c r="K82" s="92"/>
      <c r="L82" s="92" t="s">
        <v>1046</v>
      </c>
      <c r="M82" s="71"/>
      <c r="N82" s="92"/>
      <c r="O82" s="71" t="s">
        <v>1007</v>
      </c>
      <c r="P82" s="71"/>
      <c r="Q82" s="71"/>
    </row>
    <row r="83" spans="1:17" s="5" customFormat="1" ht="21">
      <c r="A83" s="72"/>
      <c r="B83" s="87"/>
      <c r="C83" s="87"/>
      <c r="D83" s="87"/>
      <c r="E83" s="101"/>
      <c r="F83" s="152"/>
      <c r="G83" s="174"/>
      <c r="H83" s="104" t="s">
        <v>1050</v>
      </c>
      <c r="I83" s="92"/>
      <c r="J83" s="92"/>
      <c r="K83" s="92"/>
      <c r="L83" s="92" t="s">
        <v>1046</v>
      </c>
      <c r="M83" s="71"/>
      <c r="N83" s="92"/>
      <c r="O83" s="71" t="s">
        <v>1007</v>
      </c>
      <c r="P83" s="71"/>
      <c r="Q83" s="71"/>
    </row>
    <row r="84" spans="1:17" s="5" customFormat="1" ht="21">
      <c r="A84" s="72"/>
      <c r="B84" s="87"/>
      <c r="C84" s="87"/>
      <c r="D84" s="87"/>
      <c r="E84" s="101"/>
      <c r="F84" s="152"/>
      <c r="G84" s="174"/>
      <c r="H84" s="123" t="s">
        <v>1051</v>
      </c>
      <c r="I84" s="92"/>
      <c r="J84" s="92"/>
      <c r="K84" s="92"/>
      <c r="L84" s="92" t="s">
        <v>1046</v>
      </c>
      <c r="M84" s="71"/>
      <c r="N84" s="92"/>
      <c r="O84" s="71" t="s">
        <v>1007</v>
      </c>
      <c r="P84" s="71"/>
      <c r="Q84" s="71"/>
    </row>
    <row r="85" spans="1:17" s="5" customFormat="1" ht="21">
      <c r="A85" s="72"/>
      <c r="B85" s="87"/>
      <c r="C85" s="87"/>
      <c r="D85" s="87"/>
      <c r="E85" s="101"/>
      <c r="F85" s="152"/>
      <c r="G85" s="174"/>
      <c r="H85" s="123" t="s">
        <v>1053</v>
      </c>
      <c r="I85" s="92"/>
      <c r="J85" s="92"/>
      <c r="K85" s="92"/>
      <c r="L85" s="92" t="s">
        <v>1052</v>
      </c>
      <c r="M85" s="71"/>
      <c r="N85" s="92"/>
      <c r="O85" s="71" t="s">
        <v>1061</v>
      </c>
      <c r="P85" s="71"/>
      <c r="Q85" s="71"/>
    </row>
    <row r="86" spans="1:17" s="5" customFormat="1" ht="21">
      <c r="A86" s="72"/>
      <c r="B86" s="87"/>
      <c r="C86" s="87"/>
      <c r="D86" s="87"/>
      <c r="E86" s="101"/>
      <c r="F86" s="153"/>
      <c r="G86" s="175"/>
      <c r="H86" s="123" t="s">
        <v>1053</v>
      </c>
      <c r="I86" s="92"/>
      <c r="J86" s="92"/>
      <c r="K86" s="92"/>
      <c r="L86" s="92" t="s">
        <v>1052</v>
      </c>
      <c r="M86" s="71"/>
      <c r="N86" s="92"/>
      <c r="O86" s="71" t="s">
        <v>1062</v>
      </c>
      <c r="P86" s="71"/>
      <c r="Q86" s="71"/>
    </row>
    <row r="87" spans="1:17" s="5" customFormat="1" ht="21">
      <c r="A87" s="72"/>
      <c r="B87" s="87"/>
      <c r="C87" s="87"/>
      <c r="D87" s="87"/>
      <c r="E87" s="101"/>
      <c r="F87" s="151">
        <v>8</v>
      </c>
      <c r="G87" s="155" t="s">
        <v>923</v>
      </c>
      <c r="H87" s="123"/>
      <c r="I87" s="92" t="s">
        <v>994</v>
      </c>
      <c r="J87" s="92" t="s">
        <v>994</v>
      </c>
      <c r="K87" s="92" t="s">
        <v>994</v>
      </c>
      <c r="L87" s="92"/>
      <c r="M87" s="71"/>
      <c r="N87" s="92"/>
      <c r="O87" s="71"/>
      <c r="P87" s="71"/>
      <c r="Q87" s="71"/>
    </row>
    <row r="88" spans="1:17" s="5" customFormat="1" ht="21">
      <c r="A88" s="72"/>
      <c r="B88" s="87"/>
      <c r="C88" s="87"/>
      <c r="D88" s="87"/>
      <c r="E88" s="101"/>
      <c r="F88" s="152"/>
      <c r="G88" s="156"/>
      <c r="H88" s="123" t="s">
        <v>1063</v>
      </c>
      <c r="I88" s="92"/>
      <c r="J88" s="92"/>
      <c r="K88" s="92"/>
      <c r="L88" s="92" t="s">
        <v>1052</v>
      </c>
      <c r="M88" s="71"/>
      <c r="N88" s="92"/>
      <c r="O88" s="71" t="s">
        <v>1007</v>
      </c>
      <c r="P88" s="71"/>
      <c r="Q88" s="71"/>
    </row>
    <row r="89" spans="1:17" s="5" customFormat="1" ht="21">
      <c r="A89" s="72"/>
      <c r="B89" s="87"/>
      <c r="C89" s="87"/>
      <c r="D89" s="87"/>
      <c r="E89" s="101"/>
      <c r="F89" s="152"/>
      <c r="G89" s="156"/>
      <c r="H89" s="123"/>
      <c r="I89" s="92"/>
      <c r="J89" s="92"/>
      <c r="K89" s="92"/>
      <c r="L89" s="92"/>
      <c r="M89" s="92" t="s">
        <v>994</v>
      </c>
      <c r="N89" s="92"/>
      <c r="O89" s="71"/>
      <c r="P89" s="71"/>
      <c r="Q89" s="71"/>
    </row>
    <row r="90" spans="1:17" s="5" customFormat="1">
      <c r="A90" s="72"/>
      <c r="B90" s="87"/>
      <c r="C90" s="87"/>
      <c r="D90" s="87"/>
      <c r="F90" s="152"/>
      <c r="G90" s="156"/>
      <c r="H90" s="92"/>
      <c r="I90" s="92"/>
      <c r="J90" s="92"/>
      <c r="K90" s="92"/>
      <c r="L90" s="71"/>
      <c r="M90" s="91"/>
      <c r="N90" s="92" t="s">
        <v>994</v>
      </c>
      <c r="O90" s="71"/>
      <c r="P90" s="71"/>
      <c r="Q90" s="71"/>
    </row>
    <row r="91" spans="1:17" s="5" customFormat="1">
      <c r="A91" s="72"/>
      <c r="B91" s="87"/>
      <c r="C91" s="87"/>
      <c r="D91" s="87"/>
      <c r="F91" s="153"/>
      <c r="G91" s="157"/>
      <c r="H91" s="92"/>
      <c r="I91" s="92"/>
      <c r="J91" s="92"/>
      <c r="K91" s="92"/>
      <c r="L91" s="71"/>
      <c r="M91" s="91"/>
      <c r="N91" s="92"/>
      <c r="O91" s="71"/>
      <c r="P91" s="71"/>
      <c r="Q91" s="71"/>
    </row>
    <row r="92" spans="1:17" s="5" customFormat="1">
      <c r="A92" s="72"/>
      <c r="B92" s="87"/>
      <c r="C92" s="87"/>
      <c r="D92" s="87"/>
      <c r="F92" s="151">
        <v>9</v>
      </c>
      <c r="G92" s="154" t="s">
        <v>100</v>
      </c>
      <c r="H92" s="91"/>
      <c r="I92" s="92"/>
      <c r="J92" s="92"/>
      <c r="K92" s="92"/>
      <c r="L92" s="71"/>
      <c r="M92" s="91"/>
      <c r="N92" s="92"/>
      <c r="O92" s="71" t="s">
        <v>1064</v>
      </c>
      <c r="P92" s="71"/>
      <c r="Q92" s="71"/>
    </row>
    <row r="93" spans="1:17" s="5" customFormat="1">
      <c r="A93" s="72"/>
      <c r="B93" s="87"/>
      <c r="C93" s="87"/>
      <c r="D93" s="87"/>
      <c r="F93" s="153"/>
      <c r="G93" s="154"/>
      <c r="H93" s="91"/>
      <c r="I93" s="92"/>
      <c r="J93" s="92"/>
      <c r="K93" s="92"/>
      <c r="L93" s="71"/>
      <c r="M93" s="91"/>
      <c r="N93" s="92"/>
      <c r="O93" s="71"/>
      <c r="P93" s="71"/>
      <c r="Q93" s="71"/>
    </row>
    <row r="94" spans="1:17" s="5" customFormat="1">
      <c r="A94" s="72"/>
      <c r="B94" s="87"/>
      <c r="C94" s="87"/>
      <c r="D94" s="87"/>
      <c r="F94" s="151">
        <v>10</v>
      </c>
      <c r="G94" s="180" t="s">
        <v>301</v>
      </c>
      <c r="H94" s="104" t="s">
        <v>1027</v>
      </c>
      <c r="I94" s="92" t="s">
        <v>1066</v>
      </c>
      <c r="J94" s="92"/>
      <c r="K94" s="92"/>
      <c r="L94" s="71"/>
      <c r="M94" s="91"/>
      <c r="N94" s="92"/>
      <c r="O94" s="71" t="s">
        <v>999</v>
      </c>
      <c r="P94" s="158" t="s">
        <v>1067</v>
      </c>
      <c r="Q94" s="71"/>
    </row>
    <row r="95" spans="1:17" s="5" customFormat="1">
      <c r="A95" s="72"/>
      <c r="B95" s="87"/>
      <c r="C95" s="87"/>
      <c r="D95" s="87"/>
      <c r="F95" s="152"/>
      <c r="G95" s="181"/>
      <c r="H95" s="104" t="s">
        <v>984</v>
      </c>
      <c r="I95" s="92" t="s">
        <v>1066</v>
      </c>
      <c r="J95" s="92"/>
      <c r="K95" s="92"/>
      <c r="L95" s="71"/>
      <c r="M95" s="125"/>
      <c r="N95" s="92"/>
      <c r="O95" s="71" t="s">
        <v>999</v>
      </c>
      <c r="P95" s="160"/>
      <c r="Q95" s="71"/>
    </row>
    <row r="96" spans="1:17" s="5" customFormat="1">
      <c r="A96" s="72"/>
      <c r="B96" s="87"/>
      <c r="C96" s="87"/>
      <c r="D96" s="87"/>
      <c r="F96" s="152"/>
      <c r="G96" s="181"/>
      <c r="H96" s="104" t="s">
        <v>983</v>
      </c>
      <c r="I96" s="92" t="s">
        <v>1066</v>
      </c>
      <c r="J96" s="92"/>
      <c r="K96" s="92"/>
      <c r="L96" s="71"/>
      <c r="M96" s="125"/>
      <c r="N96" s="92"/>
      <c r="O96" s="71" t="s">
        <v>999</v>
      </c>
      <c r="P96" s="158" t="s">
        <v>1065</v>
      </c>
      <c r="Q96" s="71"/>
    </row>
    <row r="97" spans="1:17" s="5" customFormat="1">
      <c r="A97" s="72"/>
      <c r="B97" s="87"/>
      <c r="C97" s="87"/>
      <c r="D97" s="87"/>
      <c r="F97" s="152"/>
      <c r="G97" s="181"/>
      <c r="H97" s="104" t="s">
        <v>984</v>
      </c>
      <c r="I97" s="92" t="s">
        <v>1066</v>
      </c>
      <c r="J97" s="92"/>
      <c r="K97" s="92"/>
      <c r="L97" s="71"/>
      <c r="M97" s="125"/>
      <c r="N97" s="92"/>
      <c r="O97" s="71" t="s">
        <v>999</v>
      </c>
      <c r="P97" s="160"/>
      <c r="Q97" s="71"/>
    </row>
    <row r="98" spans="1:17" s="5" customFormat="1">
      <c r="A98" s="72"/>
      <c r="B98" s="87"/>
      <c r="C98" s="87"/>
      <c r="D98" s="87"/>
      <c r="F98" s="152"/>
      <c r="G98" s="181"/>
      <c r="H98" s="104" t="s">
        <v>982</v>
      </c>
      <c r="I98" s="92" t="s">
        <v>1066</v>
      </c>
      <c r="J98" s="92"/>
      <c r="K98" s="92"/>
      <c r="L98" s="71"/>
      <c r="M98" s="125"/>
      <c r="N98" s="92"/>
      <c r="O98" s="71" t="s">
        <v>999</v>
      </c>
      <c r="P98" s="158" t="s">
        <v>1067</v>
      </c>
      <c r="Q98" s="71"/>
    </row>
    <row r="99" spans="1:17" s="5" customFormat="1">
      <c r="A99" s="72"/>
      <c r="B99" s="87"/>
      <c r="C99" s="87"/>
      <c r="D99" s="87"/>
      <c r="F99" s="152"/>
      <c r="G99" s="181"/>
      <c r="H99" s="104" t="s">
        <v>982</v>
      </c>
      <c r="I99" s="92" t="s">
        <v>1066</v>
      </c>
      <c r="J99" s="92"/>
      <c r="K99" s="92"/>
      <c r="L99" s="71"/>
      <c r="M99" s="125"/>
      <c r="N99" s="92"/>
      <c r="O99" s="71" t="s">
        <v>999</v>
      </c>
      <c r="P99" s="160"/>
      <c r="Q99" s="71"/>
    </row>
    <row r="100" spans="1:17" s="5" customFormat="1">
      <c r="A100" s="72"/>
      <c r="B100" s="87"/>
      <c r="C100" s="87"/>
      <c r="D100" s="87"/>
      <c r="F100" s="152"/>
      <c r="G100" s="181"/>
      <c r="H100" s="104" t="s">
        <v>982</v>
      </c>
      <c r="I100" s="92" t="s">
        <v>1066</v>
      </c>
      <c r="J100" s="92"/>
      <c r="K100" s="92"/>
      <c r="L100" s="71"/>
      <c r="M100" s="125"/>
      <c r="N100" s="92"/>
      <c r="O100" s="71" t="s">
        <v>999</v>
      </c>
      <c r="P100" s="158" t="s">
        <v>1065</v>
      </c>
      <c r="Q100" s="71"/>
    </row>
    <row r="101" spans="1:17" s="5" customFormat="1">
      <c r="A101" s="72"/>
      <c r="B101" s="87"/>
      <c r="C101" s="87"/>
      <c r="D101" s="87"/>
      <c r="F101" s="152"/>
      <c r="G101" s="181"/>
      <c r="H101" s="104" t="s">
        <v>982</v>
      </c>
      <c r="I101" s="92" t="s">
        <v>1066</v>
      </c>
      <c r="J101" s="92"/>
      <c r="K101" s="92"/>
      <c r="L101" s="71"/>
      <c r="M101" s="125"/>
      <c r="N101" s="92"/>
      <c r="O101" s="71" t="s">
        <v>999</v>
      </c>
      <c r="P101" s="159"/>
      <c r="Q101" s="71"/>
    </row>
    <row r="102" spans="1:17" s="5" customFormat="1">
      <c r="A102" s="72"/>
      <c r="B102" s="87"/>
      <c r="C102" s="87"/>
      <c r="D102" s="87"/>
      <c r="F102" s="152"/>
      <c r="G102" s="181"/>
      <c r="H102" s="104"/>
      <c r="I102" s="92"/>
      <c r="J102" s="92"/>
      <c r="K102" s="92"/>
      <c r="L102" s="71"/>
      <c r="M102" s="91"/>
      <c r="N102" s="92"/>
      <c r="O102" s="71"/>
      <c r="P102" s="160"/>
      <c r="Q102" s="71"/>
    </row>
    <row r="103" spans="1:17" s="5" customFormat="1">
      <c r="A103" s="72"/>
      <c r="B103" s="87"/>
      <c r="C103" s="87"/>
      <c r="D103" s="87"/>
      <c r="F103" s="152"/>
      <c r="G103" s="181"/>
      <c r="H103" s="125"/>
      <c r="I103" s="92"/>
      <c r="J103" s="92" t="s">
        <v>994</v>
      </c>
      <c r="K103" s="92"/>
      <c r="L103" s="71"/>
      <c r="M103" s="125"/>
      <c r="N103" s="92"/>
      <c r="O103" s="71"/>
      <c r="P103" s="71"/>
      <c r="Q103" s="71"/>
    </row>
    <row r="104" spans="1:17">
      <c r="A104" s="72"/>
      <c r="B104" s="87"/>
      <c r="C104" s="87"/>
      <c r="D104" s="87"/>
      <c r="F104" s="152"/>
      <c r="G104" s="181"/>
      <c r="H104" s="104" t="s">
        <v>1069</v>
      </c>
      <c r="I104" s="92"/>
      <c r="J104" s="92"/>
      <c r="K104" s="92" t="s">
        <v>1013</v>
      </c>
      <c r="L104" s="71"/>
      <c r="M104" s="125"/>
      <c r="N104" s="92"/>
      <c r="O104" s="71" t="s">
        <v>1014</v>
      </c>
      <c r="P104" s="71" t="s">
        <v>1067</v>
      </c>
      <c r="Q104" s="71"/>
    </row>
    <row r="105" spans="1:17">
      <c r="A105" s="72"/>
      <c r="B105" s="87"/>
      <c r="C105" s="87"/>
      <c r="D105" s="87"/>
      <c r="F105" s="152"/>
      <c r="G105" s="181"/>
      <c r="H105" s="104" t="s">
        <v>1069</v>
      </c>
      <c r="J105" s="92"/>
      <c r="K105" s="92" t="s">
        <v>1013</v>
      </c>
      <c r="L105" s="71"/>
      <c r="M105" s="125"/>
      <c r="N105" s="92"/>
      <c r="O105" s="71" t="s">
        <v>1014</v>
      </c>
      <c r="P105" s="71" t="s">
        <v>1065</v>
      </c>
      <c r="Q105" s="71"/>
    </row>
    <row r="106" spans="1:17">
      <c r="A106" s="72"/>
      <c r="B106" s="87"/>
      <c r="C106" s="87"/>
      <c r="D106" s="87"/>
      <c r="F106" s="152"/>
      <c r="G106" s="181"/>
      <c r="H106" s="104" t="s">
        <v>1070</v>
      </c>
      <c r="I106" s="92"/>
      <c r="J106" s="92"/>
      <c r="K106" s="92" t="s">
        <v>1013</v>
      </c>
      <c r="L106" s="71"/>
      <c r="M106" s="125"/>
      <c r="N106" s="92"/>
      <c r="O106" s="71" t="s">
        <v>1014</v>
      </c>
      <c r="P106" s="71" t="s">
        <v>1067</v>
      </c>
      <c r="Q106" s="71"/>
    </row>
    <row r="107" spans="1:17">
      <c r="A107" s="72"/>
      <c r="F107" s="152"/>
      <c r="G107" s="181"/>
      <c r="H107" s="104" t="s">
        <v>1070</v>
      </c>
      <c r="I107" s="92"/>
      <c r="J107" s="92"/>
      <c r="K107" s="92" t="s">
        <v>1013</v>
      </c>
      <c r="L107" s="71"/>
      <c r="M107" s="125"/>
      <c r="N107" s="92"/>
      <c r="O107" s="71" t="s">
        <v>1014</v>
      </c>
      <c r="P107" s="71" t="s">
        <v>1065</v>
      </c>
      <c r="Q107" s="71"/>
    </row>
    <row r="108" spans="1:17" s="5" customFormat="1">
      <c r="A108" s="72"/>
      <c r="F108" s="152"/>
      <c r="G108" s="181"/>
      <c r="H108" s="104" t="s">
        <v>1063</v>
      </c>
      <c r="I108" s="92"/>
      <c r="J108" s="92"/>
      <c r="K108" s="92"/>
      <c r="L108" s="92" t="s">
        <v>1018</v>
      </c>
      <c r="M108" s="138"/>
      <c r="N108" s="92"/>
      <c r="O108" s="71" t="s">
        <v>1007</v>
      </c>
      <c r="P108" s="71" t="s">
        <v>1067</v>
      </c>
      <c r="Q108" s="71"/>
    </row>
    <row r="109" spans="1:17" s="5" customFormat="1">
      <c r="A109" s="72"/>
      <c r="F109" s="152"/>
      <c r="G109" s="181"/>
      <c r="H109" s="104" t="s">
        <v>1063</v>
      </c>
      <c r="I109" s="92"/>
      <c r="J109" s="92"/>
      <c r="K109" s="92"/>
      <c r="L109" s="92" t="s">
        <v>1018</v>
      </c>
      <c r="M109" s="138"/>
      <c r="N109" s="92"/>
      <c r="O109" s="71" t="s">
        <v>1007</v>
      </c>
      <c r="P109" s="71" t="s">
        <v>1065</v>
      </c>
      <c r="Q109" s="71"/>
    </row>
    <row r="110" spans="1:17" s="5" customFormat="1">
      <c r="A110" s="72"/>
      <c r="F110" s="152"/>
      <c r="G110" s="181"/>
      <c r="H110" s="104" t="s">
        <v>1006</v>
      </c>
      <c r="I110" s="92"/>
      <c r="J110" s="92"/>
      <c r="K110" s="92"/>
      <c r="L110" s="92" t="s">
        <v>1018</v>
      </c>
      <c r="M110" s="138"/>
      <c r="N110" s="92"/>
      <c r="O110" s="71" t="s">
        <v>1007</v>
      </c>
      <c r="P110" s="71" t="s">
        <v>1067</v>
      </c>
      <c r="Q110" s="71"/>
    </row>
    <row r="111" spans="1:17" s="5" customFormat="1">
      <c r="A111" s="72"/>
      <c r="F111" s="152"/>
      <c r="G111" s="181"/>
      <c r="H111" s="104" t="s">
        <v>1006</v>
      </c>
      <c r="I111" s="92"/>
      <c r="J111" s="92"/>
      <c r="K111" s="92"/>
      <c r="L111" s="92" t="s">
        <v>1018</v>
      </c>
      <c r="M111" s="138"/>
      <c r="N111" s="92"/>
      <c r="O111" s="71" t="s">
        <v>1007</v>
      </c>
      <c r="P111" s="71" t="s">
        <v>1065</v>
      </c>
      <c r="Q111" s="71"/>
    </row>
    <row r="112" spans="1:17" s="5" customFormat="1">
      <c r="A112" s="72"/>
      <c r="F112" s="152"/>
      <c r="G112" s="181"/>
      <c r="H112" s="104" t="s">
        <v>1038</v>
      </c>
      <c r="I112" s="92"/>
      <c r="J112" s="92"/>
      <c r="K112" s="92"/>
      <c r="L112" s="92" t="s">
        <v>1018</v>
      </c>
      <c r="M112" s="138"/>
      <c r="N112" s="92"/>
      <c r="O112" s="71" t="s">
        <v>1007</v>
      </c>
      <c r="P112" s="71" t="s">
        <v>1071</v>
      </c>
      <c r="Q112" s="71"/>
    </row>
    <row r="113" spans="1:17" s="5" customFormat="1">
      <c r="A113" s="72"/>
      <c r="F113" s="152"/>
      <c r="G113" s="181"/>
      <c r="H113" s="104" t="s">
        <v>1038</v>
      </c>
      <c r="I113" s="92"/>
      <c r="J113" s="92"/>
      <c r="K113" s="92"/>
      <c r="L113" s="92" t="s">
        <v>1018</v>
      </c>
      <c r="M113" s="138"/>
      <c r="N113" s="92"/>
      <c r="O113" s="71" t="s">
        <v>1007</v>
      </c>
      <c r="P113" s="71" t="s">
        <v>1065</v>
      </c>
      <c r="Q113" s="71"/>
    </row>
    <row r="114" spans="1:17" s="5" customFormat="1">
      <c r="A114" s="72"/>
      <c r="F114" s="152"/>
      <c r="G114" s="181"/>
      <c r="H114" s="104" t="s">
        <v>1047</v>
      </c>
      <c r="I114" s="92"/>
      <c r="J114" s="92"/>
      <c r="K114" s="92"/>
      <c r="L114" s="92" t="s">
        <v>1018</v>
      </c>
      <c r="M114" s="138"/>
      <c r="N114" s="92"/>
      <c r="O114" s="71" t="s">
        <v>1007</v>
      </c>
      <c r="P114" s="71" t="s">
        <v>1067</v>
      </c>
      <c r="Q114" s="71"/>
    </row>
    <row r="115" spans="1:17" s="5" customFormat="1">
      <c r="A115" s="72"/>
      <c r="F115" s="152"/>
      <c r="G115" s="181"/>
      <c r="H115" s="104" t="s">
        <v>1047</v>
      </c>
      <c r="I115" s="92"/>
      <c r="J115" s="92"/>
      <c r="K115" s="92"/>
      <c r="L115" s="92" t="s">
        <v>1018</v>
      </c>
      <c r="M115" s="138"/>
      <c r="N115" s="92"/>
      <c r="O115" s="71" t="s">
        <v>1007</v>
      </c>
      <c r="P115" s="71" t="s">
        <v>1065</v>
      </c>
      <c r="Q115" s="71"/>
    </row>
    <row r="116" spans="1:17" s="5" customFormat="1">
      <c r="A116" s="72"/>
      <c r="F116" s="152"/>
      <c r="G116" s="181"/>
      <c r="H116" s="104"/>
      <c r="I116" s="92"/>
      <c r="J116" s="92"/>
      <c r="K116" s="92"/>
      <c r="L116" s="92"/>
      <c r="M116" s="138" t="s">
        <v>994</v>
      </c>
      <c r="N116" s="92" t="s">
        <v>994</v>
      </c>
      <c r="O116" s="71"/>
      <c r="Q116" s="71"/>
    </row>
    <row r="117" spans="1:17" s="5" customFormat="1">
      <c r="A117" s="72"/>
      <c r="F117" s="152">
        <v>11</v>
      </c>
      <c r="G117" s="161" t="s">
        <v>1072</v>
      </c>
      <c r="H117" s="104" t="s">
        <v>1075</v>
      </c>
      <c r="I117" s="92" t="s">
        <v>1066</v>
      </c>
      <c r="J117" s="92"/>
      <c r="K117" s="92"/>
      <c r="L117" s="92"/>
      <c r="M117" s="138"/>
      <c r="N117" s="92"/>
      <c r="O117" s="71"/>
      <c r="P117" s="71" t="s">
        <v>1074</v>
      </c>
      <c r="Q117" s="71"/>
    </row>
    <row r="118" spans="1:17" s="5" customFormat="1">
      <c r="A118" s="72"/>
      <c r="F118" s="152"/>
      <c r="G118" s="161"/>
      <c r="H118" s="104" t="s">
        <v>1075</v>
      </c>
      <c r="I118" s="92" t="s">
        <v>1066</v>
      </c>
      <c r="J118" s="92"/>
      <c r="K118" s="92"/>
      <c r="L118" s="92"/>
      <c r="M118" s="138"/>
      <c r="N118" s="92"/>
      <c r="O118" s="71"/>
      <c r="P118" s="71" t="s">
        <v>1073</v>
      </c>
      <c r="Q118" s="71"/>
    </row>
    <row r="119" spans="1:17" s="5" customFormat="1">
      <c r="A119" s="72"/>
      <c r="F119" s="152"/>
      <c r="G119" s="161"/>
      <c r="H119" s="104"/>
      <c r="I119" s="92"/>
      <c r="J119" s="92" t="s">
        <v>994</v>
      </c>
      <c r="K119" s="92" t="s">
        <v>994</v>
      </c>
      <c r="L119" s="92" t="s">
        <v>994</v>
      </c>
      <c r="M119" s="138" t="s">
        <v>994</v>
      </c>
      <c r="N119" s="92" t="s">
        <v>994</v>
      </c>
      <c r="O119" s="71"/>
      <c r="P119" s="71"/>
      <c r="Q119" s="71"/>
    </row>
    <row r="120" spans="1:17">
      <c r="A120" s="72"/>
      <c r="F120" s="153"/>
      <c r="G120" s="162"/>
      <c r="H120" s="71"/>
      <c r="I120" s="71"/>
      <c r="J120" s="92"/>
      <c r="K120" s="92"/>
      <c r="L120" s="71"/>
      <c r="M120" s="125"/>
      <c r="N120" s="92"/>
      <c r="O120" s="71"/>
      <c r="P120" s="71"/>
      <c r="Q120" s="71"/>
    </row>
    <row r="121" spans="1:17">
      <c r="A121" s="72"/>
      <c r="B121" s="172"/>
      <c r="F121" s="72"/>
      <c r="G121" s="100"/>
      <c r="H121" s="72"/>
      <c r="I121" s="88"/>
      <c r="L121" s="72"/>
      <c r="M121" s="87"/>
    </row>
    <row r="122" spans="1:17">
      <c r="A122" s="72"/>
      <c r="B122" s="172"/>
      <c r="F122" s="72"/>
      <c r="G122" s="130"/>
      <c r="H122" s="72"/>
      <c r="I122" s="88"/>
      <c r="L122" s="72"/>
      <c r="M122" s="87"/>
    </row>
    <row r="123" spans="1:17">
      <c r="A123" s="72"/>
      <c r="B123" s="87"/>
      <c r="F123" s="72"/>
      <c r="G123" s="131"/>
      <c r="H123" s="72"/>
      <c r="I123" s="88"/>
      <c r="L123" s="72"/>
      <c r="M123" s="87"/>
    </row>
    <row r="124" spans="1:17">
      <c r="A124" s="72"/>
      <c r="B124" s="87"/>
      <c r="F124" s="72"/>
      <c r="G124" s="131"/>
      <c r="H124" s="72"/>
      <c r="I124" s="72"/>
      <c r="L124" s="72"/>
      <c r="M124" s="72"/>
    </row>
    <row r="125" spans="1:17">
      <c r="A125" s="72"/>
      <c r="B125" s="87"/>
      <c r="F125" s="72"/>
      <c r="G125" s="130"/>
      <c r="H125" s="72"/>
      <c r="I125" s="100"/>
      <c r="L125" s="72"/>
      <c r="M125" s="87"/>
    </row>
    <row r="126" spans="1:17">
      <c r="A126" s="72"/>
      <c r="B126" s="87"/>
      <c r="I126" s="100"/>
      <c r="L126" s="72"/>
      <c r="M126" s="87"/>
    </row>
    <row r="127" spans="1:17">
      <c r="A127" s="72"/>
      <c r="B127" s="88"/>
      <c r="L127" s="72"/>
      <c r="M127" s="87"/>
    </row>
    <row r="128" spans="1:17">
      <c r="A128" s="72"/>
      <c r="B128" s="87"/>
      <c r="L128" s="72"/>
      <c r="M128" s="88"/>
    </row>
    <row r="129" spans="1:13">
      <c r="A129" s="72"/>
      <c r="B129" s="87"/>
      <c r="L129" s="72"/>
      <c r="M129" s="87"/>
    </row>
    <row r="130" spans="1:13">
      <c r="A130" s="72"/>
      <c r="B130" s="87"/>
      <c r="L130" s="72"/>
      <c r="M130" s="87"/>
    </row>
    <row r="131" spans="1:13">
      <c r="A131" s="72"/>
      <c r="B131" s="87"/>
      <c r="L131" s="72"/>
      <c r="M131" s="87"/>
    </row>
    <row r="132" spans="1:13">
      <c r="A132" s="72"/>
      <c r="B132" s="87"/>
      <c r="L132" s="72"/>
      <c r="M132" s="87"/>
    </row>
    <row r="133" spans="1:13">
      <c r="A133" s="72"/>
      <c r="B133" s="87"/>
      <c r="L133" s="72"/>
      <c r="M133" s="87"/>
    </row>
    <row r="134" spans="1:13">
      <c r="L134" s="72"/>
      <c r="M134" s="87"/>
    </row>
    <row r="135" spans="1:13">
      <c r="L135" s="72"/>
      <c r="M135" s="72"/>
    </row>
  </sheetData>
  <mergeCells count="66">
    <mergeCell ref="P94:P95"/>
    <mergeCell ref="P96:P97"/>
    <mergeCell ref="P98:P99"/>
    <mergeCell ref="P100:P102"/>
    <mergeCell ref="F18:F28"/>
    <mergeCell ref="F29:F34"/>
    <mergeCell ref="F37:F64"/>
    <mergeCell ref="F70:F86"/>
    <mergeCell ref="F87:F91"/>
    <mergeCell ref="F92:F93"/>
    <mergeCell ref="G70:G86"/>
    <mergeCell ref="G87:G91"/>
    <mergeCell ref="K35:K36"/>
    <mergeCell ref="M35:M36"/>
    <mergeCell ref="G94:G116"/>
    <mergeCell ref="J35:J36"/>
    <mergeCell ref="P3:P4"/>
    <mergeCell ref="O35:O36"/>
    <mergeCell ref="Q3:Q4"/>
    <mergeCell ref="K5:K15"/>
    <mergeCell ref="L5:L15"/>
    <mergeCell ref="N5:N15"/>
    <mergeCell ref="M3:M4"/>
    <mergeCell ref="K3:K4"/>
    <mergeCell ref="L3:L4"/>
    <mergeCell ref="O3:O4"/>
    <mergeCell ref="N3:N4"/>
    <mergeCell ref="B121:B122"/>
    <mergeCell ref="K16:K17"/>
    <mergeCell ref="L16:L17"/>
    <mergeCell ref="M16:M17"/>
    <mergeCell ref="N16:N17"/>
    <mergeCell ref="L18:L23"/>
    <mergeCell ref="G29:G34"/>
    <mergeCell ref="G35:G36"/>
    <mergeCell ref="G16:G17"/>
    <mergeCell ref="H16:H17"/>
    <mergeCell ref="N35:N36"/>
    <mergeCell ref="H35:H36"/>
    <mergeCell ref="G18:G26"/>
    <mergeCell ref="G92:G93"/>
    <mergeCell ref="F35:F36"/>
    <mergeCell ref="L35:L36"/>
    <mergeCell ref="C2:C3"/>
    <mergeCell ref="B2:B3"/>
    <mergeCell ref="D2:D3"/>
    <mergeCell ref="A1:E1"/>
    <mergeCell ref="H3:H4"/>
    <mergeCell ref="F3:F4"/>
    <mergeCell ref="G3:G4"/>
    <mergeCell ref="J18:J20"/>
    <mergeCell ref="F16:F17"/>
    <mergeCell ref="I5:I15"/>
    <mergeCell ref="J5:J15"/>
    <mergeCell ref="J3:J4"/>
    <mergeCell ref="I16:I17"/>
    <mergeCell ref="J16:J17"/>
    <mergeCell ref="G37:G66"/>
    <mergeCell ref="F94:F116"/>
    <mergeCell ref="F117:F120"/>
    <mergeCell ref="I3:I4"/>
    <mergeCell ref="G5:G15"/>
    <mergeCell ref="F5:F15"/>
    <mergeCell ref="H29:H34"/>
    <mergeCell ref="I35:I36"/>
    <mergeCell ref="G117:G120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11" sqref="F11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Gestor de Información</vt:lpstr>
      <vt:lpstr>Base de Datos</vt:lpstr>
      <vt:lpstr>Gráfica</vt:lpstr>
      <vt:lpstr>Reporte Mensual</vt:lpstr>
      <vt:lpstr>Hoja1</vt:lpstr>
      <vt:lpstr>Hoja2</vt:lpstr>
      <vt:lpstr>'Base de Datos'!Área_de_impresión</vt:lpstr>
      <vt:lpstr>ATENDIDO</vt:lpstr>
      <vt:lpstr>Baja</vt:lpstr>
      <vt:lpstr>BAJA_DN_182_2015.pdf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85209</cp:lastModifiedBy>
  <cp:lastPrinted>2015-10-26T16:11:20Z</cp:lastPrinted>
  <dcterms:created xsi:type="dcterms:W3CDTF">2011-12-23T16:53:44Z</dcterms:created>
  <dcterms:modified xsi:type="dcterms:W3CDTF">2016-04-19T14:51:34Z</dcterms:modified>
</cp:coreProperties>
</file>